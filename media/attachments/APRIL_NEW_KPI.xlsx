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vi\Downloads\"/>
    </mc:Choice>
  </mc:AlternateContent>
  <xr:revisionPtr revIDLastSave="0" documentId="13_ncr:1_{ECD6275C-204B-432D-9679-58146FFDC7CA}" xr6:coauthVersionLast="47" xr6:coauthVersionMax="47" xr10:uidLastSave="{00000000-0000-0000-0000-000000000000}"/>
  <bookViews>
    <workbookView xWindow="-110" yWindow="-110" windowWidth="19420" windowHeight="10300" xr2:uid="{F755C0C1-F594-4172-835A-37F11A34AAA7}"/>
  </bookViews>
  <sheets>
    <sheet name="FINAL PAY OUT" sheetId="5" r:id="rId1"/>
    <sheet name="SOS VS SOM" sheetId="4" r:id="rId2"/>
    <sheet name="PVT" sheetId="3" r:id="rId3"/>
    <sheet name="RAW DATA" sheetId="1" r:id="rId4"/>
  </sheets>
  <definedNames>
    <definedName name="_xlnm._FilterDatabase" localSheetId="0" hidden="1">'FINAL PAY OUT'!$A$2:$H$153</definedName>
    <definedName name="_xlnm._FilterDatabase" localSheetId="3" hidden="1">'RAW DATA'!$B$2:$J$614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4" l="1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F4" i="5" l="1"/>
  <c r="G4" i="5" s="1"/>
  <c r="H4" i="5" s="1"/>
  <c r="F5" i="5"/>
  <c r="G5" i="5" s="1"/>
  <c r="H5" i="5" s="1"/>
  <c r="F6" i="5"/>
  <c r="G6" i="5" s="1"/>
  <c r="H6" i="5" s="1"/>
  <c r="F7" i="5"/>
  <c r="G7" i="5" s="1"/>
  <c r="H7" i="5" s="1"/>
  <c r="F8" i="5"/>
  <c r="G8" i="5" s="1"/>
  <c r="H8" i="5" s="1"/>
  <c r="F9" i="5"/>
  <c r="G9" i="5" s="1"/>
  <c r="H9" i="5" s="1"/>
  <c r="F10" i="5"/>
  <c r="G10" i="5" s="1"/>
  <c r="H10" i="5" s="1"/>
  <c r="F11" i="5"/>
  <c r="G11" i="5" s="1"/>
  <c r="H11" i="5" s="1"/>
  <c r="F12" i="5"/>
  <c r="G12" i="5" s="1"/>
  <c r="H12" i="5" s="1"/>
  <c r="F13" i="5"/>
  <c r="G13" i="5" s="1"/>
  <c r="H13" i="5" s="1"/>
  <c r="F14" i="5"/>
  <c r="G14" i="5" s="1"/>
  <c r="H14" i="5" s="1"/>
  <c r="F15" i="5"/>
  <c r="G15" i="5" s="1"/>
  <c r="H15" i="5" s="1"/>
  <c r="F16" i="5"/>
  <c r="G16" i="5" s="1"/>
  <c r="H16" i="5" s="1"/>
  <c r="F17" i="5"/>
  <c r="G17" i="5" s="1"/>
  <c r="H17" i="5" s="1"/>
  <c r="F18" i="5"/>
  <c r="G18" i="5" s="1"/>
  <c r="H18" i="5" s="1"/>
  <c r="F19" i="5"/>
  <c r="G19" i="5" s="1"/>
  <c r="H19" i="5" s="1"/>
  <c r="F20" i="5"/>
  <c r="G20" i="5" s="1"/>
  <c r="H20" i="5" s="1"/>
  <c r="F21" i="5"/>
  <c r="G21" i="5" s="1"/>
  <c r="H21" i="5" s="1"/>
  <c r="F22" i="5"/>
  <c r="G22" i="5" s="1"/>
  <c r="H22" i="5" s="1"/>
  <c r="F23" i="5"/>
  <c r="G23" i="5" s="1"/>
  <c r="H23" i="5" s="1"/>
  <c r="F24" i="5"/>
  <c r="G24" i="5" s="1"/>
  <c r="H24" i="5" s="1"/>
  <c r="F25" i="5"/>
  <c r="G25" i="5" s="1"/>
  <c r="H25" i="5" s="1"/>
  <c r="F26" i="5"/>
  <c r="G26" i="5" s="1"/>
  <c r="H26" i="5" s="1"/>
  <c r="F27" i="5"/>
  <c r="G27" i="5" s="1"/>
  <c r="H27" i="5" s="1"/>
  <c r="F28" i="5"/>
  <c r="G28" i="5" s="1"/>
  <c r="H28" i="5" s="1"/>
  <c r="F29" i="5"/>
  <c r="G29" i="5" s="1"/>
  <c r="H29" i="5" s="1"/>
  <c r="G30" i="5"/>
  <c r="H30" i="5" s="1"/>
  <c r="F31" i="5"/>
  <c r="G31" i="5" s="1"/>
  <c r="H31" i="5" s="1"/>
  <c r="F32" i="5"/>
  <c r="G32" i="5" s="1"/>
  <c r="H32" i="5" s="1"/>
  <c r="F33" i="5"/>
  <c r="G33" i="5" s="1"/>
  <c r="H33" i="5" s="1"/>
  <c r="F34" i="5"/>
  <c r="G34" i="5" s="1"/>
  <c r="H34" i="5" s="1"/>
  <c r="F35" i="5"/>
  <c r="G35" i="5" s="1"/>
  <c r="H35" i="5" s="1"/>
  <c r="F36" i="5"/>
  <c r="G36" i="5" s="1"/>
  <c r="H36" i="5" s="1"/>
  <c r="F37" i="5"/>
  <c r="G37" i="5" s="1"/>
  <c r="H37" i="5" s="1"/>
  <c r="F38" i="5"/>
  <c r="G38" i="5" s="1"/>
  <c r="H38" i="5" s="1"/>
  <c r="F39" i="5"/>
  <c r="G39" i="5" s="1"/>
  <c r="H39" i="5" s="1"/>
  <c r="F40" i="5"/>
  <c r="G40" i="5" s="1"/>
  <c r="H40" i="5" s="1"/>
  <c r="F41" i="5"/>
  <c r="G41" i="5" s="1"/>
  <c r="H41" i="5" s="1"/>
  <c r="F42" i="5"/>
  <c r="G42" i="5" s="1"/>
  <c r="H42" i="5" s="1"/>
  <c r="F43" i="5"/>
  <c r="G43" i="5" s="1"/>
  <c r="H43" i="5" s="1"/>
  <c r="F44" i="5"/>
  <c r="G44" i="5" s="1"/>
  <c r="H44" i="5" s="1"/>
  <c r="F45" i="5"/>
  <c r="G45" i="5" s="1"/>
  <c r="H45" i="5" s="1"/>
  <c r="F46" i="5"/>
  <c r="G46" i="5" s="1"/>
  <c r="H46" i="5" s="1"/>
  <c r="G47" i="5"/>
  <c r="H47" i="5" s="1"/>
  <c r="F48" i="5"/>
  <c r="G48" i="5" s="1"/>
  <c r="H48" i="5" s="1"/>
  <c r="F49" i="5"/>
  <c r="G49" i="5" s="1"/>
  <c r="H49" i="5" s="1"/>
  <c r="F50" i="5"/>
  <c r="G50" i="5" s="1"/>
  <c r="H50" i="5" s="1"/>
  <c r="F51" i="5"/>
  <c r="G51" i="5" s="1"/>
  <c r="H51" i="5" s="1"/>
  <c r="F52" i="5"/>
  <c r="G52" i="5" s="1"/>
  <c r="H52" i="5" s="1"/>
  <c r="F53" i="5"/>
  <c r="G53" i="5" s="1"/>
  <c r="H53" i="5" s="1"/>
  <c r="G54" i="5"/>
  <c r="H54" i="5" s="1"/>
  <c r="F55" i="5"/>
  <c r="G55" i="5" s="1"/>
  <c r="H55" i="5" s="1"/>
  <c r="F56" i="5"/>
  <c r="G56" i="5" s="1"/>
  <c r="H56" i="5" s="1"/>
  <c r="F57" i="5"/>
  <c r="G57" i="5" s="1"/>
  <c r="H57" i="5" s="1"/>
  <c r="F58" i="5"/>
  <c r="G58" i="5" s="1"/>
  <c r="H58" i="5" s="1"/>
  <c r="F59" i="5"/>
  <c r="G59" i="5" s="1"/>
  <c r="H59" i="5" s="1"/>
  <c r="F60" i="5"/>
  <c r="G60" i="5" s="1"/>
  <c r="H60" i="5" s="1"/>
  <c r="F61" i="5"/>
  <c r="G61" i="5" s="1"/>
  <c r="H61" i="5" s="1"/>
  <c r="F62" i="5"/>
  <c r="G62" i="5" s="1"/>
  <c r="H62" i="5" s="1"/>
  <c r="F63" i="5"/>
  <c r="G63" i="5" s="1"/>
  <c r="H63" i="5" s="1"/>
  <c r="F64" i="5"/>
  <c r="G64" i="5" s="1"/>
  <c r="H64" i="5" s="1"/>
  <c r="F65" i="5"/>
  <c r="G65" i="5" s="1"/>
  <c r="H65" i="5" s="1"/>
  <c r="G66" i="5"/>
  <c r="H66" i="5" s="1"/>
  <c r="F67" i="5"/>
  <c r="G67" i="5" s="1"/>
  <c r="H67" i="5" s="1"/>
  <c r="F68" i="5"/>
  <c r="G68" i="5" s="1"/>
  <c r="H68" i="5" s="1"/>
  <c r="F69" i="5"/>
  <c r="G69" i="5" s="1"/>
  <c r="H69" i="5" s="1"/>
  <c r="F70" i="5"/>
  <c r="G70" i="5" s="1"/>
  <c r="H70" i="5" s="1"/>
  <c r="F71" i="5"/>
  <c r="G71" i="5" s="1"/>
  <c r="H71" i="5" s="1"/>
  <c r="F72" i="5"/>
  <c r="G72" i="5" s="1"/>
  <c r="H72" i="5" s="1"/>
  <c r="F73" i="5"/>
  <c r="G73" i="5" s="1"/>
  <c r="H73" i="5" s="1"/>
  <c r="F74" i="5"/>
  <c r="G74" i="5" s="1"/>
  <c r="H74" i="5" s="1"/>
  <c r="F75" i="5"/>
  <c r="G75" i="5" s="1"/>
  <c r="H75" i="5" s="1"/>
  <c r="F76" i="5"/>
  <c r="G76" i="5" s="1"/>
  <c r="H76" i="5" s="1"/>
  <c r="F77" i="5"/>
  <c r="G77" i="5" s="1"/>
  <c r="H77" i="5" s="1"/>
  <c r="F78" i="5"/>
  <c r="G78" i="5" s="1"/>
  <c r="H78" i="5" s="1"/>
  <c r="F79" i="5"/>
  <c r="G79" i="5" s="1"/>
  <c r="H79" i="5" s="1"/>
  <c r="F80" i="5"/>
  <c r="G80" i="5" s="1"/>
  <c r="H80" i="5" s="1"/>
  <c r="F81" i="5"/>
  <c r="G81" i="5" s="1"/>
  <c r="H81" i="5" s="1"/>
  <c r="F82" i="5"/>
  <c r="G82" i="5" s="1"/>
  <c r="H82" i="5" s="1"/>
  <c r="G83" i="5"/>
  <c r="H83" i="5" s="1"/>
  <c r="F84" i="5"/>
  <c r="G84" i="5" s="1"/>
  <c r="H84" i="5" s="1"/>
  <c r="F85" i="5"/>
  <c r="G85" i="5" s="1"/>
  <c r="H85" i="5" s="1"/>
  <c r="F86" i="5"/>
  <c r="G86" i="5" s="1"/>
  <c r="H86" i="5" s="1"/>
  <c r="F87" i="5"/>
  <c r="G87" i="5" s="1"/>
  <c r="H87" i="5" s="1"/>
  <c r="G88" i="5"/>
  <c r="H88" i="5" s="1"/>
  <c r="F89" i="5"/>
  <c r="G89" i="5" s="1"/>
  <c r="H89" i="5" s="1"/>
  <c r="F90" i="5"/>
  <c r="G90" i="5" s="1"/>
  <c r="H90" i="5" s="1"/>
  <c r="F91" i="5"/>
  <c r="G91" i="5" s="1"/>
  <c r="H91" i="5" s="1"/>
  <c r="F92" i="5"/>
  <c r="G92" i="5" s="1"/>
  <c r="H92" i="5" s="1"/>
  <c r="F93" i="5"/>
  <c r="G93" i="5" s="1"/>
  <c r="H93" i="5" s="1"/>
  <c r="F94" i="5"/>
  <c r="G94" i="5" s="1"/>
  <c r="H94" i="5" s="1"/>
  <c r="F95" i="5"/>
  <c r="G95" i="5" s="1"/>
  <c r="H95" i="5" s="1"/>
  <c r="G96" i="5"/>
  <c r="H96" i="5" s="1"/>
  <c r="F97" i="5"/>
  <c r="G97" i="5" s="1"/>
  <c r="H97" i="5" s="1"/>
  <c r="F98" i="5"/>
  <c r="G98" i="5" s="1"/>
  <c r="H98" i="5" s="1"/>
  <c r="F99" i="5"/>
  <c r="G99" i="5" s="1"/>
  <c r="H99" i="5" s="1"/>
  <c r="F100" i="5"/>
  <c r="G100" i="5" s="1"/>
  <c r="H100" i="5" s="1"/>
  <c r="F101" i="5"/>
  <c r="G101" i="5" s="1"/>
  <c r="H101" i="5" s="1"/>
  <c r="F102" i="5"/>
  <c r="G102" i="5" s="1"/>
  <c r="H102" i="5" s="1"/>
  <c r="F103" i="5"/>
  <c r="G103" i="5" s="1"/>
  <c r="H103" i="5" s="1"/>
  <c r="F104" i="5"/>
  <c r="G104" i="5" s="1"/>
  <c r="H104" i="5" s="1"/>
  <c r="F105" i="5"/>
  <c r="G105" i="5" s="1"/>
  <c r="H105" i="5" s="1"/>
  <c r="F106" i="5"/>
  <c r="G106" i="5" s="1"/>
  <c r="H106" i="5" s="1"/>
  <c r="F107" i="5"/>
  <c r="G107" i="5" s="1"/>
  <c r="H107" i="5" s="1"/>
  <c r="G108" i="5"/>
  <c r="H108" i="5" s="1"/>
  <c r="G109" i="5"/>
  <c r="H109" i="5" s="1"/>
  <c r="G110" i="5"/>
  <c r="H110" i="5" s="1"/>
  <c r="F111" i="5"/>
  <c r="G111" i="5" s="1"/>
  <c r="H111" i="5" s="1"/>
  <c r="F112" i="5"/>
  <c r="G112" i="5" s="1"/>
  <c r="H112" i="5" s="1"/>
  <c r="F113" i="5"/>
  <c r="G113" i="5" s="1"/>
  <c r="H113" i="5" s="1"/>
  <c r="F114" i="5"/>
  <c r="F115" i="5"/>
  <c r="G115" i="5" s="1"/>
  <c r="F116" i="5"/>
  <c r="G116" i="5" s="1"/>
  <c r="F117" i="5"/>
  <c r="F118" i="5"/>
  <c r="G118" i="5" s="1"/>
  <c r="H118" i="5" s="1"/>
  <c r="F119" i="5"/>
  <c r="G119" i="5" s="1"/>
  <c r="H119" i="5" s="1"/>
  <c r="F120" i="5"/>
  <c r="G120" i="5" s="1"/>
  <c r="F121" i="5"/>
  <c r="F122" i="5"/>
  <c r="G122" i="5" s="1"/>
  <c r="H122" i="5" s="1"/>
  <c r="F123" i="5"/>
  <c r="G123" i="5" s="1"/>
  <c r="H123" i="5" s="1"/>
  <c r="F124" i="5"/>
  <c r="F125" i="5"/>
  <c r="G125" i="5" s="1"/>
  <c r="H125" i="5" s="1"/>
  <c r="F126" i="5"/>
  <c r="F127" i="5"/>
  <c r="G127" i="5" s="1"/>
  <c r="H127" i="5" s="1"/>
  <c r="F128" i="5"/>
  <c r="G128" i="5" s="1"/>
  <c r="H128" i="5" s="1"/>
  <c r="F129" i="5"/>
  <c r="F130" i="5"/>
  <c r="G130" i="5" s="1"/>
  <c r="H130" i="5" s="1"/>
  <c r="F131" i="5"/>
  <c r="G131" i="5" s="1"/>
  <c r="H131" i="5" s="1"/>
  <c r="F132" i="5"/>
  <c r="F133" i="5"/>
  <c r="G133" i="5" s="1"/>
  <c r="H133" i="5" s="1"/>
  <c r="F134" i="5"/>
  <c r="F135" i="5"/>
  <c r="G135" i="5" s="1"/>
  <c r="H135" i="5" s="1"/>
  <c r="F136" i="5"/>
  <c r="G136" i="5" s="1"/>
  <c r="F137" i="5"/>
  <c r="G137" i="5" s="1"/>
  <c r="H137" i="5" s="1"/>
  <c r="F138" i="5"/>
  <c r="G138" i="5" s="1"/>
  <c r="H138" i="5" s="1"/>
  <c r="G139" i="5"/>
  <c r="F140" i="5"/>
  <c r="F141" i="5"/>
  <c r="G141" i="5" s="1"/>
  <c r="H141" i="5" s="1"/>
  <c r="F143" i="5"/>
  <c r="G143" i="5" s="1"/>
  <c r="H143" i="5" s="1"/>
  <c r="F144" i="5"/>
  <c r="G144" i="5" s="1"/>
  <c r="H144" i="5" s="1"/>
  <c r="F145" i="5"/>
  <c r="G146" i="5"/>
  <c r="F147" i="5"/>
  <c r="G147" i="5" s="1"/>
  <c r="F148" i="5"/>
  <c r="F149" i="5"/>
  <c r="G149" i="5" s="1"/>
  <c r="H149" i="5" s="1"/>
  <c r="F150" i="5"/>
  <c r="G150" i="5" s="1"/>
  <c r="H150" i="5" s="1"/>
  <c r="F151" i="5"/>
  <c r="G151" i="5" s="1"/>
  <c r="H151" i="5" s="1"/>
  <c r="F152" i="5"/>
  <c r="G152" i="5" s="1"/>
  <c r="F153" i="5"/>
  <c r="F3" i="5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465" i="1"/>
  <c r="G142" i="5" l="1"/>
  <c r="H142" i="5" s="1"/>
  <c r="G134" i="5"/>
  <c r="H134" i="5" s="1"/>
  <c r="G126" i="5"/>
  <c r="H126" i="5" s="1"/>
  <c r="G148" i="5"/>
  <c r="H148" i="5" s="1"/>
  <c r="G140" i="5"/>
  <c r="H140" i="5" s="1"/>
  <c r="G132" i="5"/>
  <c r="H132" i="5" s="1"/>
  <c r="G124" i="5"/>
  <c r="H124" i="5" s="1"/>
  <c r="G117" i="5"/>
  <c r="H117" i="5" s="1"/>
  <c r="G3" i="5"/>
  <c r="H3" i="5" s="1"/>
  <c r="G153" i="5"/>
  <c r="H153" i="5" s="1"/>
  <c r="G145" i="5"/>
  <c r="H145" i="5" s="1"/>
  <c r="G129" i="5"/>
  <c r="H129" i="5" s="1"/>
  <c r="G121" i="5"/>
  <c r="H121" i="5" s="1"/>
  <c r="G114" i="5"/>
  <c r="H114" i="5" s="1"/>
  <c r="H147" i="5"/>
  <c r="H139" i="5"/>
  <c r="H116" i="5"/>
  <c r="H146" i="5"/>
  <c r="H115" i="5"/>
  <c r="H152" i="5"/>
  <c r="H136" i="5"/>
  <c r="H120" i="5"/>
</calcChain>
</file>

<file path=xl/sharedStrings.xml><?xml version="1.0" encoding="utf-8"?>
<sst xmlns="http://schemas.openxmlformats.org/spreadsheetml/2006/main" count="2932" uniqueCount="212">
  <si>
    <t>OUTLET NAME</t>
  </si>
  <si>
    <t xml:space="preserve">CHANNEL </t>
  </si>
  <si>
    <t>DISTRIBUTOR</t>
  </si>
  <si>
    <t>Home care</t>
  </si>
  <si>
    <t>Personal care</t>
  </si>
  <si>
    <t>Beauty and well being</t>
  </si>
  <si>
    <t>Foods</t>
  </si>
  <si>
    <t>KPI</t>
  </si>
  <si>
    <t>2k shoppers</t>
  </si>
  <si>
    <t>Lmt Account</t>
  </si>
  <si>
    <t>Dredro Distributors</t>
  </si>
  <si>
    <t>OSA</t>
  </si>
  <si>
    <t>Abra Shopping Centre</t>
  </si>
  <si>
    <t>Qima Ventures Enterprises</t>
  </si>
  <si>
    <t>Abrah supermarket</t>
  </si>
  <si>
    <t>Active supermarket</t>
  </si>
  <si>
    <t>Gt Trading Limited</t>
  </si>
  <si>
    <t>Apple Door To Door Supermarket</t>
  </si>
  <si>
    <t>Falkan Investments Ltd Mbarara</t>
  </si>
  <si>
    <t>Bam Shopping Centre</t>
  </si>
  <si>
    <t>Bea Mart (U) Ltd</t>
  </si>
  <si>
    <t>Salvo Grima Fortportal</t>
  </si>
  <si>
    <t>Benco Liner Supermarket Ltd</t>
  </si>
  <si>
    <t>Zeripen Investments Limited</t>
  </si>
  <si>
    <t>Bengel</t>
  </si>
  <si>
    <t>Best Buy Bukoto</t>
  </si>
  <si>
    <t>Salvo Grima Kampala</t>
  </si>
  <si>
    <t>CAC KYANJA</t>
  </si>
  <si>
    <t>Capital Shoppers Garden City</t>
  </si>
  <si>
    <t>Capital Account</t>
  </si>
  <si>
    <t>Dhl</t>
  </si>
  <si>
    <t>Capital Shoppers Nakawa</t>
  </si>
  <si>
    <t>Capital Shoppers Supermarket - Ntinda</t>
  </si>
  <si>
    <t>Capital Shoppers Supermarket Nakasero</t>
  </si>
  <si>
    <t>Carrefour Uganda - Acacia Mall</t>
  </si>
  <si>
    <t>Carrefour Account</t>
  </si>
  <si>
    <t>Carrefour Uganda - Arena Mall</t>
  </si>
  <si>
    <t>Carrefour Uganda - Lugogo Mall</t>
  </si>
  <si>
    <t>Carrefour Uganda - Naalya</t>
  </si>
  <si>
    <t>Carrefour Uganda - Oasis Mall</t>
  </si>
  <si>
    <t>Carrefour Victoria Mall</t>
  </si>
  <si>
    <t>Carrefour village mall</t>
  </si>
  <si>
    <t>Cheapest Supermarket</t>
  </si>
  <si>
    <t>Davakam Collections Ltd Kampala</t>
  </si>
  <si>
    <t>China Town Akamwesi mall</t>
  </si>
  <si>
    <t>China Town Freedom City</t>
  </si>
  <si>
    <t>China Town Lugogo Mall</t>
  </si>
  <si>
    <t>Citizen supermarket</t>
  </si>
  <si>
    <t>Davakam Collections Ltd Mubende</t>
  </si>
  <si>
    <t>City Joy  Kitintale</t>
  </si>
  <si>
    <t>City Joy Kitintale</t>
  </si>
  <si>
    <t>City Joy Mbuya</t>
  </si>
  <si>
    <t>City joy supermarket Kireka</t>
  </si>
  <si>
    <t>City Shoppers Supermarket</t>
  </si>
  <si>
    <t>Mofunds Ltd</t>
  </si>
  <si>
    <t>Cobrena  supermarket</t>
  </si>
  <si>
    <t>Costco</t>
  </si>
  <si>
    <t>Jadma</t>
  </si>
  <si>
    <t>Crane Shoppers</t>
  </si>
  <si>
    <t>Crown Stores Lubowa</t>
  </si>
  <si>
    <t>Crown Stores Sonde</t>
  </si>
  <si>
    <t>Cynibel General Trading Limited  (B</t>
  </si>
  <si>
    <t>Cynibel General Trading Ltd ( Lweza</t>
  </si>
  <si>
    <t>Cynibel Kiwatule</t>
  </si>
  <si>
    <t>Cynibel Super Market</t>
  </si>
  <si>
    <t>Rabriel Investments Gulu</t>
  </si>
  <si>
    <t>Day Day life supermarket</t>
  </si>
  <si>
    <t>Day To Day Uganda Limited</t>
  </si>
  <si>
    <t>DE  PENTA</t>
  </si>
  <si>
    <t>Deluxe Supermarket</t>
  </si>
  <si>
    <t>Dembe smkt</t>
  </si>
  <si>
    <t>Dine and Save</t>
  </si>
  <si>
    <t>Dine And Save Supermarket</t>
  </si>
  <si>
    <t>Ecomart BUNGA</t>
  </si>
  <si>
    <t>Ecomart Account</t>
  </si>
  <si>
    <t>Ecomart Kisaasi</t>
  </si>
  <si>
    <t>Ecomart Kiwatule</t>
  </si>
  <si>
    <t>Ecomart Seguku</t>
  </si>
  <si>
    <t>Embassy supermarket LUBOWA</t>
  </si>
  <si>
    <t>Equity Shoppers Supermarket</t>
  </si>
  <si>
    <t>Fabulous Freeman</t>
  </si>
  <si>
    <t>Fabulous Freeman Supermarket</t>
  </si>
  <si>
    <t>Family Fresh (Eco Gas)</t>
  </si>
  <si>
    <t>Fraine Gayaza Road</t>
  </si>
  <si>
    <t>Fraine Account</t>
  </si>
  <si>
    <t>Fraine Kansanga</t>
  </si>
  <si>
    <t>Fraine Kigoowa</t>
  </si>
  <si>
    <t>Fraine Kira</t>
  </si>
  <si>
    <t>Fraine Ntinda</t>
  </si>
  <si>
    <t>Frame mart supermarket</t>
  </si>
  <si>
    <t>Freddie mini supermarket</t>
  </si>
  <si>
    <t>Fresco Supermarket</t>
  </si>
  <si>
    <t>Gevas supermarket</t>
  </si>
  <si>
    <t>Rabriel Investments Hoima</t>
  </si>
  <si>
    <t>Gift plus tororo</t>
  </si>
  <si>
    <t>Namwagale Business Enterprises</t>
  </si>
  <si>
    <t>Gleam supermarket</t>
  </si>
  <si>
    <t>Global Naalya</t>
  </si>
  <si>
    <t>Goalman Enterprises  Limited</t>
  </si>
  <si>
    <t>Golf Supermarket</t>
  </si>
  <si>
    <t>Hajji &amp;#38  Hajji Smkt</t>
  </si>
  <si>
    <t>Italian mart</t>
  </si>
  <si>
    <t>Jafa supermarket</t>
  </si>
  <si>
    <t>Jazz</t>
  </si>
  <si>
    <t>JedMart shoppers</t>
  </si>
  <si>
    <t>Jtee Supermarket</t>
  </si>
  <si>
    <t>Kabu Supermarket</t>
  </si>
  <si>
    <t>KENJOY ENTERPRISES LIMITED (mengo)</t>
  </si>
  <si>
    <t>KENJOY ENTERPRISES LIMITED (stella)</t>
  </si>
  <si>
    <t>kenjoy mengo</t>
  </si>
  <si>
    <t>Kenjoy Nansana</t>
  </si>
  <si>
    <t>Khush Impex</t>
  </si>
  <si>
    <t>Kirimi Supermarket</t>
  </si>
  <si>
    <t>Kwaja 1</t>
  </si>
  <si>
    <t>Rabriel Investments Lira</t>
  </si>
  <si>
    <t>Labora</t>
  </si>
  <si>
    <t>Lebron Smkt</t>
  </si>
  <si>
    <t>Lexor mart kabusu</t>
  </si>
  <si>
    <t>Lucky Star Supermarket</t>
  </si>
  <si>
    <t>Salvo Grima Masaka</t>
  </si>
  <si>
    <t>Maama Shoppers Centre</t>
  </si>
  <si>
    <t>Maama Shoppers Main</t>
  </si>
  <si>
    <t>Makhani Supermarket</t>
  </si>
  <si>
    <t>Marianah Supermarket</t>
  </si>
  <si>
    <t>Masaka No 1 Supermarket</t>
  </si>
  <si>
    <t>Masters Gayaza</t>
  </si>
  <si>
    <t>Masters Namanve Supermarket</t>
  </si>
  <si>
    <t>Masters Ntinda</t>
  </si>
  <si>
    <t>mega standard garden city</t>
  </si>
  <si>
    <t>Mega Standard Supermarket Lweza</t>
  </si>
  <si>
    <t>Standard Account</t>
  </si>
  <si>
    <t>Miami supermarket</t>
  </si>
  <si>
    <t>Midway Supermarket</t>
  </si>
  <si>
    <t>MILLENIUM 2000</t>
  </si>
  <si>
    <t>Mirembe shoppers</t>
  </si>
  <si>
    <t>Muzirango And Sons Ltd</t>
  </si>
  <si>
    <t>Nadia Supermarket</t>
  </si>
  <si>
    <t>Navya Impex Limited</t>
  </si>
  <si>
    <t>New Abrah Supermarket</t>
  </si>
  <si>
    <t>New Welcome Shoppers</t>
  </si>
  <si>
    <t>Nile Delight 2</t>
  </si>
  <si>
    <t>OK supermarket Ltd</t>
  </si>
  <si>
    <t>Olita Investments Ltd</t>
  </si>
  <si>
    <t>Om Supermarket Limited</t>
  </si>
  <si>
    <t>Our Global Enterprises</t>
  </si>
  <si>
    <t>Padova  1</t>
  </si>
  <si>
    <t>Padova Namasuba Stage</t>
  </si>
  <si>
    <t>Panama kisasi</t>
  </si>
  <si>
    <t>Panama Supermarket</t>
  </si>
  <si>
    <t>Paradise Supermarket</t>
  </si>
  <si>
    <t>Paris Corner Supermarket</t>
  </si>
  <si>
    <t>Pearl Shopping Center Limited</t>
  </si>
  <si>
    <t>Peoples Supermarket 0703932011</t>
  </si>
  <si>
    <t>Poonam Enterprises Supermkt</t>
  </si>
  <si>
    <t>Quality Martin Road</t>
  </si>
  <si>
    <t>Quality Account</t>
  </si>
  <si>
    <t>Quality Supermarket - Kitende</t>
  </si>
  <si>
    <t>Quality Supermarket - Lubowa.</t>
  </si>
  <si>
    <t>Quality Supermarket Naalya</t>
  </si>
  <si>
    <t>Quick Pick Namugongo</t>
  </si>
  <si>
    <t>Rab Lines Trading Co.</t>
  </si>
  <si>
    <t>Rehoboth supermarket</t>
  </si>
  <si>
    <t>Republic S/M</t>
  </si>
  <si>
    <t>Royal supermarket</t>
  </si>
  <si>
    <t>Rwenzori limited supermarket</t>
  </si>
  <si>
    <t>S &amp; S Kyanja</t>
  </si>
  <si>
    <t>Samuel &amp; Samantha Enterprise</t>
  </si>
  <si>
    <t>Samuel&amp;#38 Samantha Enterprises (Kansan</t>
  </si>
  <si>
    <t>Save Supermarket</t>
  </si>
  <si>
    <t>Shanisha Supermarket</t>
  </si>
  <si>
    <t>Shiddique Shoppers limited supermarket</t>
  </si>
  <si>
    <t>Shiva International(U) Ltd</t>
  </si>
  <si>
    <t>Shoalong supermarket</t>
  </si>
  <si>
    <t>shopwise kasangati</t>
  </si>
  <si>
    <t>Shopwise Kiwatule</t>
  </si>
  <si>
    <t>Shopwise Supermarket Gulu</t>
  </si>
  <si>
    <t>Shopwise Supermarket Kira</t>
  </si>
  <si>
    <t>Shopwise Supermarket Kyanja</t>
  </si>
  <si>
    <t>Shopwise Supermarket Manyangwa</t>
  </si>
  <si>
    <t>Sombe Supermarket</t>
  </si>
  <si>
    <t>Standard Supermarket ( OldTaxi Park Branch)</t>
  </si>
  <si>
    <t>Standard Supermarket (Garden City Branch)</t>
  </si>
  <si>
    <t>Standard Supermarket (Mega Aponye Branch)</t>
  </si>
  <si>
    <t>Standard supermarket 1</t>
  </si>
  <si>
    <t>SUNJOR  S/MKT BUKERERE RD</t>
  </si>
  <si>
    <t>Swami Impex U Ltd</t>
  </si>
  <si>
    <t>Swift supermarket</t>
  </si>
  <si>
    <t>Taata Owen S/M</t>
  </si>
  <si>
    <t>Tesco Cash And Carry Ltd</t>
  </si>
  <si>
    <t>Tmt Bukoto</t>
  </si>
  <si>
    <t>Tsons Trading Companys (Ug) Ltd</t>
  </si>
  <si>
    <t>Vintage Supermarket Uganda Limited</t>
  </si>
  <si>
    <t>Walmart 2</t>
  </si>
  <si>
    <t>Walmart Cash And Carry Ltd</t>
  </si>
  <si>
    <t>Wilsen Supermarket</t>
  </si>
  <si>
    <t>NPD</t>
  </si>
  <si>
    <t>POSM</t>
  </si>
  <si>
    <t>TSONS TRADING COMPANYS (UG) LTD</t>
  </si>
  <si>
    <t>Row Labels</t>
  </si>
  <si>
    <t>Score</t>
  </si>
  <si>
    <t>Sum of Home care</t>
  </si>
  <si>
    <t>Center Alignment</t>
  </si>
  <si>
    <t>Column Labels</t>
  </si>
  <si>
    <t xml:space="preserve"> % SOS </t>
  </si>
  <si>
    <t>%SOM</t>
  </si>
  <si>
    <t>SOS VS SOM</t>
  </si>
  <si>
    <t>OUTLETS</t>
  </si>
  <si>
    <t xml:space="preserve">CostMart Supermarket </t>
  </si>
  <si>
    <t xml:space="preserve">Futureland Supermarket </t>
  </si>
  <si>
    <t>SOS vs SOM</t>
  </si>
  <si>
    <t>Average Score</t>
  </si>
  <si>
    <t xml:space="preserve">Pay status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</si>
</sst>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Comic Sans MS"/>
      <family val="4"/>
    </font>
    <font>
      <b/>
      <sz val="8"/>
      <color theme="0"/>
      <name val="Calibri Light"/>
      <family val="2"/>
      <scheme val="major"/>
    </font>
    <font>
      <sz val="9"/>
      <color theme="0"/>
      <name val="Comic Sans MS"/>
      <family val="4"/>
    </font>
    <font>
      <sz val="9"/>
      <color rgb="FFFF0000"/>
      <name val="Comic Sans MS"/>
      <family val="4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7">
    <border>
      <left/>
      <right/>
      <top/>
      <bottom/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7">
    <xf numFmtId="0" fontId="0" fillId="0" borderId="0" xfId="0"/>
    <xf numFmtId="9" fontId="0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0" fontId="3" fillId="0" borderId="1" xfId="0" applyFont="1" applyBorder="1"/>
    <xf numFmtId="0" fontId="3" fillId="0" borderId="2" xfId="0" applyFont="1" applyBorder="1"/>
    <xf numFmtId="9" fontId="3" fillId="0" borderId="2" xfId="0" applyNumberFormat="1" applyFont="1" applyBorder="1"/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  <xf numFmtId="9" fontId="3" fillId="0" borderId="5" xfId="0" applyNumberFormat="1" applyFont="1" applyBorder="1"/>
    <xf numFmtId="0" fontId="3" fillId="0" borderId="6" xfId="0" applyFont="1" applyBorder="1"/>
    <xf numFmtId="9" fontId="0" fillId="0" borderId="0" xfId="1" pivotButton="1" applyFont="1"/>
    <xf numFmtId="0" fontId="2" fillId="2" borderId="0" xfId="0" applyFont="1" applyFill="1"/>
    <xf numFmtId="9" fontId="4" fillId="2" borderId="0" xfId="1" applyFont="1" applyFill="1" applyAlignment="1">
      <alignment wrapText="1"/>
    </xf>
    <xf numFmtId="0" fontId="3" fillId="0" borderId="0" xfId="0" applyFont="1"/>
    <xf numFmtId="9" fontId="3" fillId="0" borderId="0" xfId="1" applyFont="1" applyFill="1"/>
    <xf numFmtId="9" fontId="3" fillId="0" borderId="0" xfId="1" applyFont="1"/>
    <xf numFmtId="0" fontId="5" fillId="2" borderId="0" xfId="0" applyFont="1" applyFill="1"/>
    <xf numFmtId="9" fontId="5" fillId="2" borderId="0" xfId="1" applyFont="1" applyFill="1"/>
    <xf numFmtId="0" fontId="3" fillId="0" borderId="0" xfId="0" applyFont="1" applyAlignment="1">
      <alignment horizontal="left"/>
    </xf>
    <xf numFmtId="9" fontId="5" fillId="2" borderId="0" xfId="1" applyFont="1" applyFill="1" applyAlignment="1">
      <alignment horizontal="center"/>
    </xf>
    <xf numFmtId="9" fontId="3" fillId="0" borderId="0" xfId="1" applyFont="1" applyAlignment="1">
      <alignment horizontal="center"/>
    </xf>
    <xf numFmtId="9" fontId="6" fillId="0" borderId="0" xfId="1" applyFont="1" applyAlignment="1">
      <alignment horizontal="center"/>
    </xf>
    <xf numFmtId="9" fontId="0" fillId="0" borderId="0" xfId="1" applyFont="1" applyAlignment="1">
      <alignment horizontal="center"/>
    </xf>
    <xf numFmtId="9" fontId="3" fillId="0" borderId="0" xfId="0" applyNumberFormat="1" applyFont="1" applyAlignment="1">
      <alignment horizontal="center"/>
    </xf>
    <xf numFmtId="0" fontId="0" fillId="0" borderId="0" xfId="0" applyAlignment="1">
      <alignment horizontal="center"/>
    </xf>
  </cellXfs>
  <cellStyles count="2">
    <cellStyle name="Normal" xfId="0" builtinId="0"/>
    <cellStyle name="Percent" xfId="1" builtinId="5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omic Sans MS"/>
        <family val="4"/>
        <scheme val="none"/>
      </font>
      <numFmt numFmtId="13" formatCode="0%"/>
      <fill>
        <patternFill patternType="none">
          <fgColor indexed="64"/>
          <bgColor indexed="65"/>
        </patternFill>
      </fill>
    </dxf>
    <dxf>
      <font>
        <color rgb="FFFF000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omic Sans MS"/>
        <family val="4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omic Sans MS"/>
        <family val="4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omic Sans MS"/>
        <family val="4"/>
        <scheme val="none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9"/>
        <color theme="1"/>
        <name val="Comic Sans MS"/>
        <family val="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omic Sans MS"/>
        <family val="4"/>
        <scheme val="none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theme="0"/>
      </font>
      <fill>
        <patternFill patternType="solid">
          <fgColor indexed="64"/>
          <bgColor rgb="FF002060"/>
        </patternFill>
      </fill>
    </dxf>
    <dxf>
      <font>
        <strike val="0"/>
        <outline val="0"/>
        <shadow val="0"/>
        <u val="none"/>
        <vertAlign val="baseline"/>
        <sz val="9"/>
        <name val="Comic Sans MS"/>
        <family val="4"/>
        <scheme val="none"/>
      </font>
    </dxf>
    <dxf>
      <font>
        <strike val="0"/>
        <outline val="0"/>
        <shadow val="0"/>
        <u val="none"/>
        <vertAlign val="baseline"/>
        <sz val="9"/>
        <name val="Comic Sans MS"/>
        <family val="4"/>
        <scheme val="none"/>
      </font>
      <numFmt numFmtId="13" formatCode="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omic Sans MS"/>
        <family val="4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omic Sans MS"/>
        <family val="4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omic Sans MS"/>
        <family val="4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omic Sans MS"/>
        <family val="4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omic Sans MS"/>
        <family val="4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Comic Sans MS"/>
        <family val="4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omic Sans MS"/>
        <family val="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omic Sans MS"/>
        <family val="4"/>
        <scheme val="none"/>
      </font>
      <fill>
        <patternFill patternType="solid">
          <fgColor indexed="64"/>
          <bgColor rgb="FF00206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ervyn Marvyn" refreshedDate="46147.511499305554" createdVersion="8" refreshedVersion="8" minRefreshableVersion="3" recordCount="612" xr:uid="{5085AE86-0C75-4399-A2D3-E673DD34BEA0}">
  <cacheSource type="worksheet">
    <worksheetSource ref="B2:J614" sheet="RAW DATA"/>
  </cacheSource>
  <cacheFields count="9">
    <cacheField name="OUTLET NAME" numFmtId="0">
      <sharedItems count="164">
        <s v="2k shoppers"/>
        <s v="Abra Shopping Centre"/>
        <s v="Abrah supermarket"/>
        <s v="Active supermarket"/>
        <s v="Apple Door To Door Supermarket"/>
        <s v="Bam Shopping Centre"/>
        <s v="Bea Mart (U) Ltd"/>
        <s v="Benco Liner Supermarket Ltd"/>
        <s v="Bengel"/>
        <s v="Best Buy Bukoto"/>
        <s v="CAC KYANJA"/>
        <s v="Capital Shoppers Garden City"/>
        <s v="Capital Shoppers Nakawa"/>
        <s v="Capital Shoppers Supermarket - Ntinda"/>
        <s v="Capital Shoppers Supermarket Nakasero"/>
        <s v="Carrefour Uganda - Acacia Mall"/>
        <s v="Carrefour Uganda - Arena Mall"/>
        <s v="Carrefour Uganda - Lugogo Mall"/>
        <s v="Carrefour Uganda - Naalya"/>
        <s v="Carrefour Uganda - Oasis Mall"/>
        <s v="Carrefour Victoria Mall"/>
        <s v="Carrefour village mall"/>
        <s v="Cheapest Supermarket"/>
        <s v="China Town Akamwesi mall"/>
        <s v="China Town Freedom City"/>
        <s v="China Town Lugogo Mall"/>
        <s v="Citizen supermarket"/>
        <s v="City Joy  Kitintale"/>
        <s v="City Joy Kitintale"/>
        <s v="City Joy Mbuya"/>
        <s v="City joy supermarket Kireka"/>
        <s v="City Shoppers Supermarket"/>
        <s v="Cobrena  supermarket"/>
        <s v="Costco"/>
        <s v="Crane Shoppers"/>
        <s v="Crown Stores Lubowa"/>
        <s v="Crown Stores Sonde"/>
        <s v="Cynibel General Trading Limited  (B"/>
        <s v="Cynibel General Trading Ltd ( Lweza"/>
        <s v="Cynibel Kiwatule"/>
        <s v="Cynibel Super Market"/>
        <s v="Day Day life supermarket"/>
        <s v="Day To Day Uganda Limited"/>
        <s v="DE  PENTA"/>
        <s v="Deluxe Supermarket"/>
        <s v="Dembe smkt"/>
        <s v="Dine and Save"/>
        <s v="Dine And Save Supermarket"/>
        <s v="Ecomart BUNGA"/>
        <s v="Ecomart Kisaasi"/>
        <s v="Ecomart Kiwatule"/>
        <s v="Ecomart Seguku"/>
        <s v="Embassy supermarket LUBOWA"/>
        <s v="Equity Shoppers Supermarket"/>
        <s v="Fabulous Freeman"/>
        <s v="Fabulous Freeman Supermarket"/>
        <s v="Family Fresh (Eco Gas)"/>
        <s v="Fraine Gayaza Road"/>
        <s v="Fraine Kansanga"/>
        <s v="Fraine Kigoowa"/>
        <s v="Fraine Kira"/>
        <s v="Fraine Ntinda"/>
        <s v="Frame mart supermarket"/>
        <s v="Freddie mini supermarket"/>
        <s v="Fresco Supermarket"/>
        <s v="Gevas supermarket"/>
        <s v="Gift plus tororo"/>
        <s v="Gleam supermarket"/>
        <s v="Global Naalya"/>
        <s v="Goalman Enterprises  Limited"/>
        <s v="Golf Supermarket"/>
        <s v="Hajji &amp;#38  Hajji Smkt"/>
        <s v="Italian mart"/>
        <s v="Jafa supermarket"/>
        <s v="Jazz"/>
        <s v="JedMart shoppers"/>
        <s v="Jtee Supermarket"/>
        <s v="Kabu Supermarket"/>
        <s v="KENJOY ENTERPRISES LIMITED (mengo)"/>
        <s v="KENJOY ENTERPRISES LIMITED (stella)"/>
        <s v="kenjoy mengo"/>
        <s v="Kenjoy Nansana"/>
        <s v="Khush Impex"/>
        <s v="Kirimi Supermarket"/>
        <s v="Kwaja 1"/>
        <s v="Labora"/>
        <s v="Lebron Smkt"/>
        <s v="Lexor mart kabusu"/>
        <s v="Lucky Star Supermarket"/>
        <s v="Maama Shoppers Centre"/>
        <s v="Maama Shoppers Main"/>
        <s v="Makhani Supermarket"/>
        <s v="Marianah Supermarket"/>
        <s v="Masaka No 1 Supermarket"/>
        <s v="Masters Gayaza"/>
        <s v="Masters Namanve Supermarket"/>
        <s v="Masters Ntinda"/>
        <s v="mega standard garden city"/>
        <s v="Mega Standard Supermarket Lweza"/>
        <s v="Miami supermarket"/>
        <s v="Midway Supermarket"/>
        <s v="MILLENIUM 2000"/>
        <s v="Mirembe shoppers"/>
        <s v="Muzirango And Sons Ltd"/>
        <s v="Nadia Supermarket"/>
        <s v="Navya Impex Limited"/>
        <s v="New Abrah Supermarket"/>
        <s v="New Welcome Shoppers"/>
        <s v="Nile Delight 2"/>
        <s v="OK supermarket Ltd"/>
        <s v="Olita Investments Ltd"/>
        <s v="Om Supermarket Limited"/>
        <s v="Our Global Enterprises"/>
        <s v="Padova  1"/>
        <s v="Padova Namasuba Stage"/>
        <s v="Panama kisasi"/>
        <s v="Panama Supermarket"/>
        <s v="Paradise Supermarket"/>
        <s v="Paris Corner Supermarket"/>
        <s v="Pearl Shopping Center Limited"/>
        <s v="Peoples Supermarket 0703932011"/>
        <s v="Poonam Enterprises Supermkt"/>
        <s v="Quality Martin Road"/>
        <s v="Quality Supermarket - Kitende"/>
        <s v="Quality Supermarket - Lubowa."/>
        <s v="Quality Supermarket Naalya"/>
        <s v="Quick Pick Namugongo"/>
        <s v="Rab Lines Trading Co."/>
        <s v="Rehoboth supermarket"/>
        <s v="Republic S/M"/>
        <s v="Royal supermarket"/>
        <s v="Rwenzori limited supermarket"/>
        <s v="S &amp; S Kyanja"/>
        <s v="Samuel &amp; Samantha Enterprise"/>
        <s v="Samuel&amp;#38 Samantha Enterprises (Kansan"/>
        <s v="Save Supermarket"/>
        <s v="Shanisha Supermarket"/>
        <s v="Shiddique Shoppers limited supermarket"/>
        <s v="Shiva International(U) Ltd"/>
        <s v="Shoalong supermarket"/>
        <s v="shopwise kasangati"/>
        <s v="Shopwise Kiwatule"/>
        <s v="Shopwise Supermarket Gulu"/>
        <s v="Shopwise Supermarket Kira"/>
        <s v="Shopwise Supermarket Kyanja"/>
        <s v="Shopwise Supermarket Manyangwa"/>
        <s v="Sombe Supermarket"/>
        <s v="Standard Supermarket ( OldTaxi Park Branch)"/>
        <s v="Standard Supermarket (Garden City Branch)"/>
        <s v="Standard Supermarket (Mega Aponye Branch)"/>
        <s v="Standard supermarket 1"/>
        <s v="SUNJOR  S/MKT BUKERERE RD"/>
        <s v="Swami Impex U Ltd"/>
        <s v="Swift supermarket"/>
        <s v="Taata Owen S/M"/>
        <s v="Tesco Cash And Carry Ltd"/>
        <s v="Tmt Bukoto"/>
        <s v="Tsons Trading Companys (Ug) Ltd"/>
        <s v="Vintage Supermarket Uganda Limited"/>
        <s v="Walmart 2"/>
        <s v="Walmart Cash And Carry Ltd"/>
        <s v="Wilsen Supermarket"/>
        <s v="CostMart Supermarket "/>
        <s v="Futureland Supermarket "/>
      </sharedItems>
    </cacheField>
    <cacheField name="CHANNEL " numFmtId="0">
      <sharedItems/>
    </cacheField>
    <cacheField name="DISTRIBUTOR" numFmtId="0">
      <sharedItems/>
    </cacheField>
    <cacheField name="Home care" numFmtId="9">
      <sharedItems containsSemiMixedTypes="0" containsString="0" containsNumber="1" minValue="0" maxValue="1"/>
    </cacheField>
    <cacheField name="Personal care" numFmtId="9">
      <sharedItems containsSemiMixedTypes="0" containsString="0" containsNumber="1" minValue="0" maxValue="1"/>
    </cacheField>
    <cacheField name="Beauty and well being" numFmtId="9">
      <sharedItems containsString="0" containsBlank="1" containsNumber="1" minValue="0" maxValue="1"/>
    </cacheField>
    <cacheField name="Foods" numFmtId="9">
      <sharedItems containsString="0" containsBlank="1" containsNumber="1" minValue="0" maxValue="1"/>
    </cacheField>
    <cacheField name="Score" numFmtId="9">
      <sharedItems containsSemiMixedTypes="0" containsString="0" containsNumber="1" minValue="0" maxValue="1"/>
    </cacheField>
    <cacheField name="KPI" numFmtId="0">
      <sharedItems count="5">
        <s v="OSA"/>
        <s v="NPD"/>
        <s v="POSM"/>
        <s v="Center Alignment"/>
        <s v="SOS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2">
  <r>
    <x v="0"/>
    <s v="Lmt Account"/>
    <s v="Dredro Distributors"/>
    <n v="1"/>
    <n v="1"/>
    <n v="1"/>
    <n v="1"/>
    <n v="1"/>
    <x v="0"/>
  </r>
  <r>
    <x v="1"/>
    <s v="Lmt Account"/>
    <s v="Qima Ventures Enterprises"/>
    <n v="1"/>
    <n v="1"/>
    <n v="1"/>
    <n v="1"/>
    <n v="1"/>
    <x v="0"/>
  </r>
  <r>
    <x v="2"/>
    <s v="Lmt Account"/>
    <s v="Dredro Distributors"/>
    <n v="1"/>
    <n v="1"/>
    <n v="1"/>
    <n v="0.88888888888888884"/>
    <n v="0.97222222222222221"/>
    <x v="0"/>
  </r>
  <r>
    <x v="3"/>
    <s v="Lmt Account"/>
    <s v="Gt Trading Limited"/>
    <n v="1"/>
    <n v="1"/>
    <n v="1"/>
    <n v="1"/>
    <n v="1"/>
    <x v="0"/>
  </r>
  <r>
    <x v="4"/>
    <s v="Lmt Account"/>
    <s v="Falkan Investments Ltd Mbarara"/>
    <n v="0.85925925925925928"/>
    <n v="1"/>
    <n v="1"/>
    <n v="0.64197530864197527"/>
    <n v="0.87530864197530867"/>
    <x v="0"/>
  </r>
  <r>
    <x v="5"/>
    <s v="Lmt Account"/>
    <s v="Qima Ventures Enterprises"/>
    <n v="1"/>
    <n v="1"/>
    <n v="1"/>
    <n v="1"/>
    <n v="1"/>
    <x v="0"/>
  </r>
  <r>
    <x v="6"/>
    <s v="Lmt Account"/>
    <s v="Salvo Grima Fortportal"/>
    <n v="1"/>
    <n v="1"/>
    <n v="1"/>
    <n v="1"/>
    <n v="1"/>
    <x v="0"/>
  </r>
  <r>
    <x v="7"/>
    <s v="Lmt Account"/>
    <s v="Zeripen Investments Limited"/>
    <n v="1"/>
    <n v="1"/>
    <n v="1"/>
    <n v="1"/>
    <n v="1"/>
    <x v="0"/>
  </r>
  <r>
    <x v="8"/>
    <s v="Lmt Account"/>
    <s v="Qima Ventures Enterprises"/>
    <n v="1"/>
    <n v="1"/>
    <n v="1"/>
    <n v="1"/>
    <n v="1"/>
    <x v="0"/>
  </r>
  <r>
    <x v="9"/>
    <s v="Lmt Account"/>
    <s v="Salvo Grima Kampala"/>
    <n v="0.99629629629629635"/>
    <n v="1"/>
    <n v="1"/>
    <n v="1"/>
    <n v="0.99907407407407411"/>
    <x v="0"/>
  </r>
  <r>
    <x v="10"/>
    <s v="Lmt Account"/>
    <s v="Salvo Grima Kampala"/>
    <n v="0.97083333333333333"/>
    <n v="1"/>
    <n v="1"/>
    <n v="1"/>
    <n v="0.9927083333333333"/>
    <x v="0"/>
  </r>
  <r>
    <x v="11"/>
    <s v="Capital Account"/>
    <s v="Dhl"/>
    <n v="0.94153846153846155"/>
    <n v="1"/>
    <n v="0.96"/>
    <n v="0.98222222222222222"/>
    <n v="0.97094017094017093"/>
    <x v="0"/>
  </r>
  <r>
    <x v="12"/>
    <s v="Capital Account"/>
    <s v="Dhl"/>
    <n v="0.96011396011396011"/>
    <n v="1"/>
    <n v="0.9747474747474747"/>
    <n v="1"/>
    <n v="0.98371535871535865"/>
    <x v="0"/>
  </r>
  <r>
    <x v="13"/>
    <s v="Capital Account"/>
    <s v="Dhl"/>
    <n v="0.94939271255060731"/>
    <n v="1"/>
    <n v="1"/>
    <n v="1"/>
    <n v="0.98734817813765186"/>
    <x v="0"/>
  </r>
  <r>
    <x v="14"/>
    <s v="Capital Account"/>
    <s v="Dhl"/>
    <n v="0.947209653092006"/>
    <n v="0.9882352941176471"/>
    <n v="0.96791443850267378"/>
    <n v="0.94117647058823528"/>
    <n v="0.96113396407514062"/>
    <x v="0"/>
  </r>
  <r>
    <x v="15"/>
    <s v="Carrefour Account"/>
    <s v="Dhl"/>
    <n v="1"/>
    <n v="1"/>
    <n v="1"/>
    <n v="1"/>
    <n v="1"/>
    <x v="0"/>
  </r>
  <r>
    <x v="16"/>
    <s v="Carrefour Account"/>
    <s v="Dhl"/>
    <n v="0.86596736596736601"/>
    <n v="0.62045454545454548"/>
    <n v="0.77272727272727271"/>
    <n v="0.71212121212121215"/>
    <n v="0.74281759906759914"/>
    <x v="0"/>
  </r>
  <r>
    <x v="17"/>
    <s v="Carrefour Account"/>
    <s v="Dhl"/>
    <n v="0.95540308747855918"/>
    <n v="0.86458333333333337"/>
    <n v="0.87662337662337664"/>
    <n v="0.8666666666666667"/>
    <n v="0.89081911602548403"/>
    <x v="0"/>
  </r>
  <r>
    <x v="18"/>
    <s v="Carrefour Account"/>
    <s v="Dhl"/>
    <n v="0.93846153846153846"/>
    <n v="0.92"/>
    <n v="0.96363636363636362"/>
    <n v="1"/>
    <n v="0.95552447552447561"/>
    <x v="0"/>
  </r>
  <r>
    <x v="19"/>
    <s v="Carrefour Account"/>
    <s v="Dhl"/>
    <n v="0.94700854700854697"/>
    <n v="0.93333333333333335"/>
    <n v="0.95454545454545459"/>
    <n v="0.8"/>
    <n v="0.90872183372183368"/>
    <x v="0"/>
  </r>
  <r>
    <x v="20"/>
    <s v="Carrefour Account"/>
    <s v="Dhl"/>
    <n v="0.91880341880341876"/>
    <n v="0.90625"/>
    <n v="0.87310606060606055"/>
    <n v="0.84722222222222221"/>
    <n v="0.88634542540792538"/>
    <x v="0"/>
  </r>
  <r>
    <x v="21"/>
    <s v="Carrefour Account"/>
    <s v="Dhl"/>
    <n v="1"/>
    <n v="1"/>
    <n v="1"/>
    <n v="1"/>
    <n v="1"/>
    <x v="0"/>
  </r>
  <r>
    <x v="22"/>
    <s v="Lmt Account"/>
    <s v="Davakam Collections Ltd Kampala"/>
    <n v="0.96363636363636362"/>
    <n v="0.95909090909090911"/>
    <n v="0.88842975206611574"/>
    <n v="0.97979797979797978"/>
    <n v="0.94773875114784201"/>
    <x v="0"/>
  </r>
  <r>
    <x v="23"/>
    <s v="Lmt Account"/>
    <s v="Davakam Collections Ltd Kampala"/>
    <n v="0.99679487179487181"/>
    <n v="0.98124999999999996"/>
    <n v="1"/>
    <n v="0.95833333333333337"/>
    <n v="0.98409455128205126"/>
    <x v="0"/>
  </r>
  <r>
    <x v="24"/>
    <s v="Lmt Account"/>
    <s v="Zeripen Investments Limited"/>
    <n v="0.93333333333333335"/>
    <n v="0.97499999999999998"/>
    <n v="0.66590909090909089"/>
    <n v="0.35"/>
    <n v="0.73106060606060608"/>
    <x v="0"/>
  </r>
  <r>
    <x v="25"/>
    <s v="Lmt Account"/>
    <s v="Salvo Grima Kampala"/>
    <n v="0.9643962848297214"/>
    <n v="0.9882352941176471"/>
    <n v="1"/>
    <n v="0"/>
    <n v="0.73815789473684212"/>
    <x v="0"/>
  </r>
  <r>
    <x v="26"/>
    <s v="Lmt Account"/>
    <s v="Davakam Collections Ltd Mubende"/>
    <n v="1"/>
    <n v="1"/>
    <n v="1"/>
    <n v="1"/>
    <n v="1"/>
    <x v="0"/>
  </r>
  <r>
    <x v="27"/>
    <s v="Lmt Account"/>
    <s v="Salvo Grima Kampala"/>
    <n v="1"/>
    <n v="1"/>
    <n v="1"/>
    <n v="0.77777777777777779"/>
    <n v="0.94444444444444442"/>
    <x v="0"/>
  </r>
  <r>
    <x v="28"/>
    <s v="Lmt Account"/>
    <s v="Salvo Grima Kampala"/>
    <n v="1"/>
    <n v="1"/>
    <n v="1"/>
    <n v="0.77777777777777779"/>
    <n v="0.94444444444444442"/>
    <x v="0"/>
  </r>
  <r>
    <x v="29"/>
    <s v="Lmt Account"/>
    <s v="Salvo Grima Kampala"/>
    <n v="0.96666666666666667"/>
    <n v="1"/>
    <n v="1"/>
    <n v="0.77037037037037037"/>
    <n v="0.93425925925925934"/>
    <x v="0"/>
  </r>
  <r>
    <x v="30"/>
    <s v="Lmt Account"/>
    <s v="Salvo Grima Kampala"/>
    <n v="0.97666666666666668"/>
    <n v="0.995"/>
    <n v="0.9"/>
    <n v="0.82222222222222219"/>
    <n v="0.92347222222222225"/>
    <x v="0"/>
  </r>
  <r>
    <x v="31"/>
    <s v="Lmt Account"/>
    <s v="Mofunds Ltd"/>
    <n v="0.80476190476190479"/>
    <n v="0.94285714285714284"/>
    <n v="0.87012987012987009"/>
    <n v="0.95238095238095233"/>
    <n v="0.89253246753246751"/>
    <x v="0"/>
  </r>
  <r>
    <x v="32"/>
    <s v="Lmt Account"/>
    <s v="Davakam Collections Ltd Kampala"/>
    <n v="0.97037037037037033"/>
    <n v="1"/>
    <n v="1"/>
    <n v="1"/>
    <n v="0.99259259259259258"/>
    <x v="0"/>
  </r>
  <r>
    <x v="33"/>
    <s v="Lmt Account"/>
    <s v="Jadma"/>
    <n v="1"/>
    <n v="1"/>
    <n v="1"/>
    <n v="0.96296296296296291"/>
    <n v="0.9907407407407407"/>
    <x v="0"/>
  </r>
  <r>
    <x v="34"/>
    <s v="Lmt Account"/>
    <s v="Dredro Distributors"/>
    <n v="1"/>
    <n v="1"/>
    <n v="1"/>
    <n v="1"/>
    <n v="1"/>
    <x v="0"/>
  </r>
  <r>
    <x v="35"/>
    <s v="Lmt Account"/>
    <s v="Salvo Grima Kampala"/>
    <n v="1"/>
    <n v="1"/>
    <n v="1"/>
    <n v="1"/>
    <n v="1"/>
    <x v="0"/>
  </r>
  <r>
    <x v="36"/>
    <s v="Lmt Account"/>
    <s v="Salvo Grima Kampala"/>
    <n v="0.82380952380952377"/>
    <n v="0.97142857142857142"/>
    <n v="0.97077922077922074"/>
    <n v="0.98412698412698407"/>
    <n v="0.93753607503607506"/>
    <x v="0"/>
  </r>
  <r>
    <x v="37"/>
    <s v="Lmt Account"/>
    <s v="Zeripen Investments Limited"/>
    <n v="0.99342105263157898"/>
    <n v="0.97499999999999998"/>
    <n v="1"/>
    <n v="0.98611111111111116"/>
    <n v="0.9886330409356725"/>
    <x v="0"/>
  </r>
  <r>
    <x v="38"/>
    <s v="Lmt Account"/>
    <s v="Zeripen Investments Limited"/>
    <n v="1"/>
    <n v="1"/>
    <n v="1"/>
    <n v="1"/>
    <n v="1"/>
    <x v="0"/>
  </r>
  <r>
    <x v="39"/>
    <s v="Lmt Account"/>
    <s v="Salvo Grima Kampala"/>
    <n v="0.96666666666666667"/>
    <n v="1"/>
    <n v="1"/>
    <n v="0.77777777777777779"/>
    <n v="0.93611111111111112"/>
    <x v="0"/>
  </r>
  <r>
    <x v="40"/>
    <s v="Lmt Account"/>
    <s v="Rabriel Investments Gulu"/>
    <n v="0.99885583524027455"/>
    <n v="1"/>
    <n v="1"/>
    <n v="1"/>
    <n v="0.99971395881006864"/>
    <x v="0"/>
  </r>
  <r>
    <x v="41"/>
    <s v="Lmt Account"/>
    <s v="Davakam Collections Ltd Mubende"/>
    <n v="1"/>
    <n v="1"/>
    <n v="1"/>
    <n v="1"/>
    <n v="1"/>
    <x v="0"/>
  </r>
  <r>
    <x v="42"/>
    <s v="Lmt Account"/>
    <s v="Falkan Investments Ltd Mbarara"/>
    <n v="0.91228070175438591"/>
    <n v="0.97499999999999998"/>
    <n v="0.98989898989898994"/>
    <n v="0.87037037037037035"/>
    <n v="0.93688751550593652"/>
    <x v="0"/>
  </r>
  <r>
    <x v="43"/>
    <s v="Lmt Account"/>
    <s v="Salvo Grima Kampala"/>
    <n v="0.43809523809523809"/>
    <n v="0.55714285714285716"/>
    <n v="0.48701298701298701"/>
    <n v="0.82539682539682535"/>
    <n v="0.57691197691197682"/>
    <x v="0"/>
  </r>
  <r>
    <x v="44"/>
    <s v="Lmt Account"/>
    <s v="Davakam Collections Ltd Kampala"/>
    <n v="0.98888888888888893"/>
    <n v="1"/>
    <n v="1"/>
    <n v="1"/>
    <n v="0.99722222222222223"/>
    <x v="0"/>
  </r>
  <r>
    <x v="45"/>
    <s v="Lmt Account"/>
    <s v="Zeripen Investments Limited"/>
    <n v="1"/>
    <n v="1"/>
    <n v="1"/>
    <n v="1"/>
    <n v="1"/>
    <x v="0"/>
  </r>
  <r>
    <x v="46"/>
    <s v="Lmt Account"/>
    <s v="Zeripen Investments Limited"/>
    <n v="0.99583333333333335"/>
    <n v="1"/>
    <n v="0.98863636363636365"/>
    <n v="0.75"/>
    <n v="0.93361742424242422"/>
    <x v="0"/>
  </r>
  <r>
    <x v="47"/>
    <s v="Lmt Account"/>
    <s v="Zeripen Investments Limited"/>
    <n v="0.96666666666666667"/>
    <n v="1"/>
    <n v="1"/>
    <n v="0.77777777777777779"/>
    <n v="0.93611111111111112"/>
    <x v="0"/>
  </r>
  <r>
    <x v="48"/>
    <s v="Ecomart Account"/>
    <s v="Dhl"/>
    <n v="1"/>
    <n v="1"/>
    <n v="1"/>
    <n v="1"/>
    <n v="1"/>
    <x v="0"/>
  </r>
  <r>
    <x v="49"/>
    <s v="Ecomart Account"/>
    <s v="Dhl"/>
    <n v="1"/>
    <n v="1"/>
    <n v="1"/>
    <n v="1"/>
    <n v="1"/>
    <x v="0"/>
  </r>
  <r>
    <x v="50"/>
    <s v="Ecomart Account"/>
    <s v="Dhl"/>
    <n v="0.97235023041474655"/>
    <n v="1"/>
    <n v="1"/>
    <n v="1"/>
    <n v="0.99308755760368661"/>
    <x v="0"/>
  </r>
  <r>
    <x v="51"/>
    <s v="Ecomart Account"/>
    <s v="Dhl"/>
    <n v="0.99108138238573018"/>
    <n v="1"/>
    <n v="1"/>
    <n v="1"/>
    <n v="0.99777034559643252"/>
    <x v="0"/>
  </r>
  <r>
    <x v="52"/>
    <s v="Lmt Account"/>
    <s v="Zeripen Investments Limited"/>
    <n v="0.97407407407407409"/>
    <n v="1"/>
    <n v="1"/>
    <n v="0.81481481481481477"/>
    <n v="0.94722222222222219"/>
    <x v="0"/>
  </r>
  <r>
    <x v="53"/>
    <s v="Lmt Account"/>
    <s v="Davakam Collections Ltd Kampala"/>
    <n v="0.96666666666666667"/>
    <n v="1"/>
    <n v="1"/>
    <n v="1"/>
    <n v="0.9916666666666667"/>
    <x v="0"/>
  </r>
  <r>
    <x v="54"/>
    <s v="Lmt Account"/>
    <s v="Jadma"/>
    <n v="1"/>
    <n v="1"/>
    <n v="1"/>
    <n v="1"/>
    <n v="1"/>
    <x v="0"/>
  </r>
  <r>
    <x v="55"/>
    <s v="Lmt Account"/>
    <s v="Jadma"/>
    <n v="1"/>
    <n v="1"/>
    <n v="1"/>
    <n v="1"/>
    <n v="1"/>
    <x v="0"/>
  </r>
  <r>
    <x v="56"/>
    <s v="Lmt Account"/>
    <s v="Salvo Grima Kampala"/>
    <n v="0.98666666666666669"/>
    <n v="0.98"/>
    <n v="1"/>
    <n v="0.97777777777777775"/>
    <n v="0.98611111111111116"/>
    <x v="0"/>
  </r>
  <r>
    <x v="57"/>
    <s v="Fraine Account"/>
    <s v="Dhl"/>
    <n v="1"/>
    <n v="1"/>
    <n v="1"/>
    <n v="1"/>
    <n v="1"/>
    <x v="0"/>
  </r>
  <r>
    <x v="58"/>
    <s v="Fraine Account"/>
    <s v="Dhl"/>
    <n v="1"/>
    <n v="0.99583333333333335"/>
    <n v="1"/>
    <n v="1"/>
    <n v="0.99895833333333339"/>
    <x v="0"/>
  </r>
  <r>
    <x v="59"/>
    <s v="Fraine Account"/>
    <s v="Dhl"/>
    <n v="1"/>
    <n v="1"/>
    <n v="1"/>
    <n v="1"/>
    <n v="1"/>
    <x v="0"/>
  </r>
  <r>
    <x v="60"/>
    <s v="Fraine Account"/>
    <s v="Dhl"/>
    <n v="1"/>
    <n v="1"/>
    <n v="1"/>
    <n v="1"/>
    <n v="1"/>
    <x v="0"/>
  </r>
  <r>
    <x v="61"/>
    <s v="Fraine Account"/>
    <s v="Dhl"/>
    <n v="1"/>
    <n v="1"/>
    <n v="1"/>
    <n v="1"/>
    <n v="1"/>
    <x v="0"/>
  </r>
  <r>
    <x v="62"/>
    <s v="Lmt Account"/>
    <s v="Mofunds Ltd"/>
    <n v="0.95"/>
    <n v="1"/>
    <n v="0.90909090909090906"/>
    <n v="0.77777777777777779"/>
    <n v="0.90921717171717165"/>
    <x v="0"/>
  </r>
  <r>
    <x v="63"/>
    <s v="Lmt Account"/>
    <s v="Davakam Collections Ltd Mubende"/>
    <n v="0.87"/>
    <n v="0.94"/>
    <n v="1"/>
    <n v="1"/>
    <n v="0.95250000000000001"/>
    <x v="0"/>
  </r>
  <r>
    <x v="64"/>
    <s v="Lmt Account"/>
    <s v="Falkan Investments Ltd Mbarara"/>
    <n v="1"/>
    <n v="1"/>
    <n v="1"/>
    <n v="1"/>
    <n v="1"/>
    <x v="0"/>
  </r>
  <r>
    <x v="65"/>
    <s v="Lmt Account"/>
    <s v="Rabriel Investments Hoima"/>
    <n v="0.98888888888888893"/>
    <n v="1"/>
    <n v="1"/>
    <n v="1"/>
    <n v="0.99722222222222223"/>
    <x v="0"/>
  </r>
  <r>
    <x v="66"/>
    <s v="Lmt Account"/>
    <s v="Namwagale Business Enterprises"/>
    <n v="0.93333333333333335"/>
    <n v="1"/>
    <n v="1"/>
    <n v="1"/>
    <n v="0.98333333333333339"/>
    <x v="0"/>
  </r>
  <r>
    <x v="67"/>
    <s v="Lmt Account"/>
    <s v="Gt Trading Limited"/>
    <n v="1"/>
    <n v="1"/>
    <n v="1"/>
    <n v="1"/>
    <n v="1"/>
    <x v="0"/>
  </r>
  <r>
    <x v="68"/>
    <s v="Lmt Account"/>
    <s v="Salvo Grima Kampala"/>
    <n v="0.99824561403508771"/>
    <n v="1"/>
    <n v="0.99760765550239239"/>
    <n v="1"/>
    <n v="0.99896331738437005"/>
    <x v="0"/>
  </r>
  <r>
    <x v="69"/>
    <s v="Lmt Account"/>
    <s v="Qima Ventures Enterprises"/>
    <n v="1"/>
    <n v="1"/>
    <n v="1"/>
    <n v="1"/>
    <n v="1"/>
    <x v="0"/>
  </r>
  <r>
    <x v="70"/>
    <s v="Lmt Account"/>
    <s v="Falkan Investments Ltd Mbarara"/>
    <n v="1"/>
    <n v="1"/>
    <n v="1"/>
    <n v="1"/>
    <n v="1"/>
    <x v="0"/>
  </r>
  <r>
    <x v="71"/>
    <s v="Lmt Account"/>
    <s v="Davakam Collections Ltd Kampala"/>
    <n v="1"/>
    <n v="1"/>
    <n v="1"/>
    <n v="1"/>
    <n v="1"/>
    <x v="0"/>
  </r>
  <r>
    <x v="72"/>
    <s v="Lmt Account"/>
    <s v="Zeripen Investments Limited"/>
    <n v="0.94358974358974357"/>
    <n v="1"/>
    <n v="1"/>
    <n v="0.78632478632478631"/>
    <n v="0.9324786324786325"/>
    <x v="0"/>
  </r>
  <r>
    <x v="73"/>
    <s v="Lmt Account"/>
    <s v="Mofunds Ltd"/>
    <n v="0.9555555555555556"/>
    <n v="1"/>
    <n v="1"/>
    <n v="1"/>
    <n v="0.98888888888888893"/>
    <x v="0"/>
  </r>
  <r>
    <x v="74"/>
    <s v="Lmt Account"/>
    <s v="Salvo Grima Kampala"/>
    <n v="1"/>
    <n v="1"/>
    <n v="1"/>
    <n v="1"/>
    <n v="1"/>
    <x v="0"/>
  </r>
  <r>
    <x v="75"/>
    <s v="Lmt Account"/>
    <s v="Davakam Collections Ltd Mubende"/>
    <n v="1"/>
    <n v="1"/>
    <n v="1"/>
    <n v="1"/>
    <n v="1"/>
    <x v="0"/>
  </r>
  <r>
    <x v="76"/>
    <s v="Lmt Account"/>
    <s v="Salvo Grima Kampala"/>
    <n v="0.9458333333333333"/>
    <n v="0.99375000000000002"/>
    <n v="0.97159090909090906"/>
    <n v="0.77777777777777779"/>
    <n v="0.92223800505050502"/>
    <x v="0"/>
  </r>
  <r>
    <x v="77"/>
    <s v="Lmt Account"/>
    <s v="Salvo Grima Kampala"/>
    <n v="0.96666666666666667"/>
    <n v="1"/>
    <n v="0.97520661157024791"/>
    <n v="0.92929292929292928"/>
    <n v="0.96779155188246091"/>
    <x v="0"/>
  </r>
  <r>
    <x v="78"/>
    <s v="Lmt Account"/>
    <s v="Zeripen Investments Limited"/>
    <n v="0.99122807017543857"/>
    <n v="1"/>
    <n v="1"/>
    <n v="0.66666666666666663"/>
    <n v="0.91447368421052622"/>
    <x v="0"/>
  </r>
  <r>
    <x v="79"/>
    <s v="Lmt Account"/>
    <s v="Zeripen Investments Limited"/>
    <n v="0.98120300751879697"/>
    <n v="0.9642857142857143"/>
    <n v="0.99350649350649356"/>
    <n v="1"/>
    <n v="0.98474880382775121"/>
    <x v="0"/>
  </r>
  <r>
    <x v="80"/>
    <s v="Lmt Account"/>
    <s v="Zeripen Investments Limited"/>
    <n v="0.96666666666666667"/>
    <n v="1"/>
    <n v="1"/>
    <n v="0.55555555555555558"/>
    <n v="0.88055555555555554"/>
    <x v="0"/>
  </r>
  <r>
    <x v="81"/>
    <s v="Lmt Account"/>
    <s v="Davakam Collections Ltd Kampala"/>
    <n v="0.96808510638297873"/>
    <n v="1"/>
    <n v="1"/>
    <n v="0.94871794871794868"/>
    <n v="0.9792007637752318"/>
    <x v="0"/>
  </r>
  <r>
    <x v="82"/>
    <s v="Lmt Account"/>
    <s v="Namwagale Business Enterprises"/>
    <n v="0.93333333333333335"/>
    <n v="1"/>
    <n v="1"/>
    <n v="1"/>
    <n v="0.98333333333333339"/>
    <x v="0"/>
  </r>
  <r>
    <x v="83"/>
    <s v="Lmt Account"/>
    <s v="Falkan Investments Ltd Mbarara"/>
    <n v="0.93628808864265933"/>
    <n v="0.99736842105263157"/>
    <n v="0.98086124401913877"/>
    <n v="0.76023391812865493"/>
    <n v="0.91868791796077109"/>
    <x v="0"/>
  </r>
  <r>
    <x v="84"/>
    <s v="Lmt Account"/>
    <s v="Rabriel Investments Lira"/>
    <n v="0.82777777777777772"/>
    <n v="0.95"/>
    <n v="0.88636363636363635"/>
    <n v="1"/>
    <n v="0.91603535353535348"/>
    <x v="0"/>
  </r>
  <r>
    <x v="85"/>
    <s v="Lmt Account"/>
    <s v="Salvo Grima Kampala"/>
    <n v="1"/>
    <n v="1"/>
    <n v="1"/>
    <n v="1"/>
    <n v="1"/>
    <x v="0"/>
  </r>
  <r>
    <x v="86"/>
    <s v="Lmt Account"/>
    <s v="Davakam Collections Ltd Kampala"/>
    <n v="0.93181818181818177"/>
    <n v="0.9916666666666667"/>
    <n v="1"/>
    <n v="0.96296296296296291"/>
    <n v="0.97161195286195279"/>
    <x v="0"/>
  </r>
  <r>
    <x v="87"/>
    <s v="Lmt Account"/>
    <s v="Zeripen Investments Limited"/>
    <n v="0.91212121212121211"/>
    <n v="1"/>
    <n v="0.98760330578512401"/>
    <n v="0.68686868686868685"/>
    <n v="0.89664830119375571"/>
    <x v="0"/>
  </r>
  <r>
    <x v="88"/>
    <s v="Lmt Account"/>
    <s v="Salvo Grima Masaka"/>
    <n v="0.96666666666666667"/>
    <n v="1"/>
    <n v="1"/>
    <n v="0.77777777777777779"/>
    <n v="0.93611111111111112"/>
    <x v="0"/>
  </r>
  <r>
    <x v="89"/>
    <s v="Lmt Account"/>
    <s v="Rabriel Investments Lira"/>
    <n v="0.81904761904761902"/>
    <n v="0.7857142857142857"/>
    <n v="0.7857142857142857"/>
    <n v="0.98412698412698407"/>
    <n v="0.84365079365079365"/>
    <x v="0"/>
  </r>
  <r>
    <x v="90"/>
    <s v="Lmt Account"/>
    <s v="Rabriel Investments Lira"/>
    <n v="0.93333333333333335"/>
    <n v="1"/>
    <n v="0.88636363636363635"/>
    <n v="0.97777777777777775"/>
    <n v="0.94936868686868692"/>
    <x v="0"/>
  </r>
  <r>
    <x v="91"/>
    <s v="Lmt Account"/>
    <s v="Rabriel Investments Lira"/>
    <n v="0.82"/>
    <n v="0.87"/>
    <n v="0.87727272727272732"/>
    <n v="0.93333333333333335"/>
    <n v="0.87515151515151524"/>
    <x v="0"/>
  </r>
  <r>
    <x v="92"/>
    <s v="Lmt Account"/>
    <s v="Zeripen Investments Limited"/>
    <n v="1"/>
    <n v="1"/>
    <n v="1"/>
    <n v="1"/>
    <n v="1"/>
    <x v="0"/>
  </r>
  <r>
    <x v="93"/>
    <s v="Lmt Account"/>
    <s v="Salvo Grima Masaka"/>
    <n v="0.99583333333333335"/>
    <n v="1"/>
    <n v="1"/>
    <n v="1"/>
    <n v="0.99895833333333339"/>
    <x v="0"/>
  </r>
  <r>
    <x v="94"/>
    <s v="Lmt Account"/>
    <s v="Davakam Collections Ltd Kampala"/>
    <n v="1"/>
    <n v="0.995"/>
    <n v="0.95909090909090911"/>
    <n v="0.92222222222222228"/>
    <n v="0.9690782828282829"/>
    <x v="0"/>
  </r>
  <r>
    <x v="95"/>
    <s v="Lmt Account"/>
    <s v="Mofunds Ltd"/>
    <n v="0.9454976303317536"/>
    <n v="0.98928571428571432"/>
    <n v="0.96753246753246758"/>
    <n v="1"/>
    <n v="0.97557895303748388"/>
    <x v="0"/>
  </r>
  <r>
    <x v="96"/>
    <s v="Lmt Account"/>
    <s v="Salvo Grima Kampala"/>
    <n v="1"/>
    <n v="1"/>
    <n v="1"/>
    <n v="1"/>
    <n v="1"/>
    <x v="0"/>
  </r>
  <r>
    <x v="97"/>
    <s v="Lmt Account"/>
    <s v="Dhl"/>
    <n v="0.98076923076923073"/>
    <n v="1"/>
    <n v="1"/>
    <n v="0.97222222222222221"/>
    <n v="0.98824786324786329"/>
    <x v="0"/>
  </r>
  <r>
    <x v="98"/>
    <s v="Standard Account"/>
    <s v="Dhl"/>
    <n v="1"/>
    <n v="1"/>
    <n v="1"/>
    <n v="1"/>
    <n v="1"/>
    <x v="0"/>
  </r>
  <r>
    <x v="99"/>
    <s v="Lmt Account"/>
    <s v="Mofunds Ltd"/>
    <n v="0.76111111111111107"/>
    <n v="0.8666666666666667"/>
    <n v="0.75"/>
    <n v="0.62962962962962965"/>
    <n v="0.75185185185185188"/>
    <x v="0"/>
  </r>
  <r>
    <x v="100"/>
    <s v="Lmt Account"/>
    <s v="Mofunds Ltd"/>
    <n v="0.96333333333333337"/>
    <n v="1"/>
    <n v="0.98181818181818181"/>
    <n v="1"/>
    <n v="0.98628787878787882"/>
    <x v="0"/>
  </r>
  <r>
    <x v="101"/>
    <s v="Lmt Account"/>
    <s v="Davakam Collections Ltd Kampala"/>
    <n v="0.98095238095238091"/>
    <n v="1"/>
    <n v="1"/>
    <n v="0.96825396825396826"/>
    <n v="0.98730158730158735"/>
    <x v="0"/>
  </r>
  <r>
    <x v="102"/>
    <s v="Lmt Account"/>
    <s v="Dredro Distributors"/>
    <n v="0.97333333333333338"/>
    <n v="1"/>
    <n v="1"/>
    <n v="1"/>
    <n v="0.9933333333333334"/>
    <x v="0"/>
  </r>
  <r>
    <x v="103"/>
    <s v="Lmt Account"/>
    <s v="Davakam Collections Ltd Kampala"/>
    <n v="0.95185185185185184"/>
    <n v="0.9555555555555556"/>
    <n v="0.93434343434343436"/>
    <n v="0.77777777777777779"/>
    <n v="0.90488215488215484"/>
    <x v="0"/>
  </r>
  <r>
    <x v="104"/>
    <s v="Lmt Account"/>
    <s v="Salvo Grima Masaka"/>
    <n v="1"/>
    <n v="1"/>
    <n v="1"/>
    <n v="1"/>
    <n v="1"/>
    <x v="0"/>
  </r>
  <r>
    <x v="105"/>
    <s v="Lmt Account"/>
    <s v="Namwagale Business Enterprises"/>
    <n v="1"/>
    <n v="1"/>
    <n v="1"/>
    <n v="1"/>
    <n v="1"/>
    <x v="0"/>
  </r>
  <r>
    <x v="106"/>
    <s v="Lmt Account"/>
    <s v="Qima Ventures Enterprises"/>
    <n v="1"/>
    <n v="1"/>
    <n v="1"/>
    <n v="1"/>
    <n v="1"/>
    <x v="0"/>
  </r>
  <r>
    <x v="107"/>
    <s v="Lmt Account"/>
    <s v="Dredro Distributors"/>
    <n v="1"/>
    <n v="1"/>
    <n v="1"/>
    <n v="1"/>
    <n v="1"/>
    <x v="0"/>
  </r>
  <r>
    <x v="108"/>
    <s v="Lmt Account"/>
    <s v="Dredro Distributors"/>
    <n v="0.96666666666666667"/>
    <n v="1"/>
    <n v="0.95454545454545459"/>
    <n v="1"/>
    <n v="0.98030303030303034"/>
    <x v="0"/>
  </r>
  <r>
    <x v="109"/>
    <s v="Lmt Account"/>
    <s v="Rabriel Investments Lira"/>
    <n v="0.81666666666666665"/>
    <n v="0.97499999999999998"/>
    <n v="0.86363636363636365"/>
    <n v="0.5"/>
    <n v="0.78882575757575757"/>
    <x v="0"/>
  </r>
  <r>
    <x v="110"/>
    <s v="Lmt Account"/>
    <s v="Gt Trading Limited"/>
    <n v="1"/>
    <n v="1"/>
    <n v="1"/>
    <n v="1"/>
    <n v="1"/>
    <x v="0"/>
  </r>
  <r>
    <x v="111"/>
    <s v="Lmt Account"/>
    <s v="Qima Ventures Enterprises"/>
    <n v="1"/>
    <n v="1"/>
    <n v="1"/>
    <n v="1"/>
    <n v="1"/>
    <x v="0"/>
  </r>
  <r>
    <x v="112"/>
    <s v="Lmt Account"/>
    <s v="Rabriel Investments Lira"/>
    <n v="0.53888888888888886"/>
    <n v="0.85"/>
    <n v="0.75"/>
    <n v="0.92592592592592593"/>
    <n v="0.76620370370370372"/>
    <x v="0"/>
  </r>
  <r>
    <x v="113"/>
    <s v="Lmt Account"/>
    <s v="Zeripen Investments Limited"/>
    <n v="1"/>
    <n v="1"/>
    <n v="1"/>
    <n v="1"/>
    <n v="1"/>
    <x v="0"/>
  </r>
  <r>
    <x v="114"/>
    <s v="Lmt Account"/>
    <s v="Zeripen Investments Limited"/>
    <n v="1"/>
    <n v="1"/>
    <n v="1"/>
    <n v="1"/>
    <n v="1"/>
    <x v="0"/>
  </r>
  <r>
    <x v="115"/>
    <s v="Lmt Account"/>
    <s v="Salvo Grima Kampala"/>
    <n v="1"/>
    <n v="1"/>
    <n v="1"/>
    <n v="0.77777777777777779"/>
    <n v="0.94444444444444442"/>
    <x v="0"/>
  </r>
  <r>
    <x v="116"/>
    <s v="Lmt Account"/>
    <s v="Salvo Grima Kampala"/>
    <n v="0.98148148148148151"/>
    <n v="1"/>
    <n v="1"/>
    <n v="0.77777777777777779"/>
    <n v="0.93981481481481477"/>
    <x v="0"/>
  </r>
  <r>
    <x v="117"/>
    <s v="Lmt Account"/>
    <s v="Salvo Grima Masaka"/>
    <n v="0.94166666666666665"/>
    <n v="1"/>
    <n v="1"/>
    <n v="0.55555555555555558"/>
    <n v="0.87430555555555545"/>
    <x v="0"/>
  </r>
  <r>
    <x v="118"/>
    <s v="Lmt Account"/>
    <s v="Mofunds Ltd"/>
    <n v="0.94912280701754381"/>
    <n v="1"/>
    <n v="0.99521531100478466"/>
    <n v="1"/>
    <n v="0.98608452950558212"/>
    <x v="0"/>
  </r>
  <r>
    <x v="119"/>
    <s v="Lmt Account"/>
    <s v="Zeripen Investments Limited"/>
    <n v="0.94736842105263153"/>
    <n v="0.98499999999999999"/>
    <n v="0.99090909090909096"/>
    <n v="0.87777777777777777"/>
    <n v="0.95026382243487506"/>
    <x v="0"/>
  </r>
  <r>
    <x v="120"/>
    <s v="Lmt Account"/>
    <s v="Davakam Collections Ltd Kampala"/>
    <n v="0.97857142857142854"/>
    <n v="1"/>
    <n v="1"/>
    <n v="1"/>
    <n v="0.99464285714285716"/>
    <x v="0"/>
  </r>
  <r>
    <x v="121"/>
    <s v="Lmt Account"/>
    <s v="Qima Ventures Enterprises"/>
    <n v="1"/>
    <n v="1"/>
    <n v="1"/>
    <n v="1"/>
    <n v="1"/>
    <x v="0"/>
  </r>
  <r>
    <x v="122"/>
    <s v="Quality Account"/>
    <s v="Dhl"/>
    <n v="0.92307692307692313"/>
    <n v="0.9"/>
    <n v="0.54545454545454541"/>
    <n v="1"/>
    <n v="0.84213286713286717"/>
    <x v="0"/>
  </r>
  <r>
    <x v="123"/>
    <s v="Quality Account"/>
    <s v="Dhl"/>
    <n v="0.92307692307692313"/>
    <n v="0.9"/>
    <n v="0.54545454545454541"/>
    <n v="1"/>
    <n v="0.84213286713286717"/>
    <x v="0"/>
  </r>
  <r>
    <x v="124"/>
    <s v="Quality Account"/>
    <s v="Dhl"/>
    <n v="0.92601726263871764"/>
    <n v="0.90500000000000003"/>
    <n v="0.55454545454545456"/>
    <n v="0.99470899470899465"/>
    <n v="0.84506792797329178"/>
    <x v="0"/>
  </r>
  <r>
    <x v="125"/>
    <s v="Quality Account"/>
    <s v="Dhl"/>
    <n v="0.8571428571428571"/>
    <n v="0.859375"/>
    <n v="0.53977272727272729"/>
    <n v="0.94117647058823528"/>
    <n v="0.79936676375095495"/>
    <x v="0"/>
  </r>
  <r>
    <x v="126"/>
    <s v="Lmt Account"/>
    <s v="Salvo Grima Kampala"/>
    <n v="0.6"/>
    <n v="0.32500000000000001"/>
    <n v="0.52272727272727271"/>
    <n v="0.69444444444444442"/>
    <n v="0.53554292929292924"/>
    <x v="0"/>
  </r>
  <r>
    <x v="127"/>
    <s v="Lmt Account"/>
    <s v="Salvo Grima Kampala"/>
    <n v="0.87435897435897436"/>
    <n v="1"/>
    <n v="1"/>
    <n v="1"/>
    <n v="0.96858974358974359"/>
    <x v="0"/>
  </r>
  <r>
    <x v="128"/>
    <s v="Lmt Account"/>
    <s v="Falkan Investments Ltd Mbarara"/>
    <n v="1"/>
    <n v="1"/>
    <n v="1"/>
    <n v="1"/>
    <n v="1"/>
    <x v="0"/>
  </r>
  <r>
    <x v="129"/>
    <s v="Lmt Account"/>
    <s v="Qima Ventures Enterprises"/>
    <n v="1"/>
    <n v="1"/>
    <n v="1"/>
    <n v="1"/>
    <n v="1"/>
    <x v="0"/>
  </r>
  <r>
    <x v="130"/>
    <s v="Lmt Account"/>
    <s v="Gt Trading Limited"/>
    <n v="1"/>
    <n v="1"/>
    <n v="1"/>
    <n v="1"/>
    <n v="1"/>
    <x v="0"/>
  </r>
  <r>
    <x v="131"/>
    <s v="Lmt Account"/>
    <s v="Davakam Collections Ltd Mubende"/>
    <n v="0.8571428571428571"/>
    <n v="1"/>
    <n v="0.99350649350649356"/>
    <n v="0.77777777777777779"/>
    <n v="0.90710678210678208"/>
    <x v="0"/>
  </r>
  <r>
    <x v="132"/>
    <s v="Lmt Account"/>
    <s v="Salvo Grima Kampala"/>
    <n v="0.96499999999999997"/>
    <n v="1"/>
    <n v="1"/>
    <n v="1"/>
    <n v="0.99124999999999996"/>
    <x v="0"/>
  </r>
  <r>
    <x v="133"/>
    <s v="Lmt Account"/>
    <s v="Salvo Grima Kampala"/>
    <n v="0.98364008179959095"/>
    <n v="1"/>
    <n v="0.97552447552447552"/>
    <n v="0.96581196581196582"/>
    <n v="0.98124413078400807"/>
    <x v="0"/>
  </r>
  <r>
    <x v="134"/>
    <s v="Lmt Account"/>
    <s v="Zeripen Investments Limited"/>
    <n v="0.93867924528301883"/>
    <n v="0.9916666666666667"/>
    <n v="1"/>
    <n v="0.92592592592592593"/>
    <n v="0.96406795946890289"/>
    <x v="0"/>
  </r>
  <r>
    <x v="135"/>
    <s v="Lmt Account"/>
    <s v="Davakam Collections Ltd Kampala"/>
    <n v="0.9939393939393939"/>
    <n v="0.98181818181818181"/>
    <n v="0.94628099173553715"/>
    <n v="1"/>
    <n v="0.98050964187327816"/>
    <x v="0"/>
  </r>
  <r>
    <x v="136"/>
    <s v="Lmt Account"/>
    <s v="Qima Ventures Enterprises"/>
    <n v="1"/>
    <n v="1"/>
    <n v="1"/>
    <n v="1"/>
    <n v="1"/>
    <x v="0"/>
  </r>
  <r>
    <x v="137"/>
    <s v="Lmt Account"/>
    <s v="Salvo Grima Fortportal"/>
    <n v="0.76666666666666672"/>
    <n v="1"/>
    <n v="1"/>
    <n v="0.77777777777777779"/>
    <n v="0.88611111111111107"/>
    <x v="0"/>
  </r>
  <r>
    <x v="138"/>
    <s v="Lmt Account"/>
    <s v="Namwagale Business Enterprises"/>
    <n v="1"/>
    <n v="1"/>
    <n v="1"/>
    <n v="1"/>
    <n v="1"/>
    <x v="0"/>
  </r>
  <r>
    <x v="139"/>
    <s v="Lmt Account"/>
    <s v="Salvo Grima Fortportal"/>
    <n v="1"/>
    <n v="1"/>
    <n v="1"/>
    <n v="1"/>
    <n v="1"/>
    <x v="0"/>
  </r>
  <r>
    <x v="140"/>
    <s v="Lmt Account"/>
    <s v="Davakam Collections Ltd Kampala"/>
    <n v="0.97272727272727277"/>
    <n v="1"/>
    <n v="1"/>
    <n v="1"/>
    <n v="0.99318181818181817"/>
    <x v="0"/>
  </r>
  <r>
    <x v="141"/>
    <s v="Lmt Account"/>
    <s v="Salvo Grima Kampala"/>
    <n v="0.96666666666666667"/>
    <n v="1"/>
    <n v="1"/>
    <n v="0.82222222222222219"/>
    <n v="0.94722222222222219"/>
    <x v="0"/>
  </r>
  <r>
    <x v="142"/>
    <s v="Lmt Account"/>
    <s v="Rabriel Investments Gulu"/>
    <n v="0.99735449735449733"/>
    <n v="1"/>
    <n v="1"/>
    <n v="0.9"/>
    <n v="0.97433862433862428"/>
    <x v="0"/>
  </r>
  <r>
    <x v="143"/>
    <s v="Lmt Account"/>
    <s v="Davakam Collections Ltd Kampala"/>
    <n v="0.96666666666666667"/>
    <n v="1"/>
    <n v="1"/>
    <n v="0.79797979797979801"/>
    <n v="0.9411616161616162"/>
    <x v="0"/>
  </r>
  <r>
    <x v="144"/>
    <s v="Lmt Account"/>
    <s v="Salvo Grima Kampala"/>
    <n v="0.97142857142857142"/>
    <n v="1"/>
    <n v="1"/>
    <n v="1"/>
    <n v="0.99285714285714288"/>
    <x v="0"/>
  </r>
  <r>
    <x v="145"/>
    <s v="Lmt Account"/>
    <s v="Davakam Collections Ltd Kampala"/>
    <n v="0.96666666666666667"/>
    <n v="1"/>
    <n v="1"/>
    <n v="1"/>
    <n v="0.9916666666666667"/>
    <x v="0"/>
  </r>
  <r>
    <x v="146"/>
    <s v="Lmt Account"/>
    <s v="Mofunds Ltd"/>
    <n v="0.99436090225563911"/>
    <n v="1"/>
    <n v="0.99025974025974028"/>
    <n v="0.98412698412698407"/>
    <n v="0.99218690666059084"/>
    <x v="0"/>
  </r>
  <r>
    <x v="147"/>
    <s v="Standard Account"/>
    <s v="Dhl"/>
    <n v="1"/>
    <n v="1"/>
    <n v="1"/>
    <n v="1"/>
    <n v="1"/>
    <x v="0"/>
  </r>
  <r>
    <x v="148"/>
    <s v="Standard Account"/>
    <s v="Dhl"/>
    <n v="0.98681318681318686"/>
    <n v="1"/>
    <n v="1"/>
    <n v="0.97023809523809523"/>
    <n v="0.98926282051282055"/>
    <x v="0"/>
  </r>
  <r>
    <x v="149"/>
    <s v="Standard Account"/>
    <s v="Dhl"/>
    <n v="1"/>
    <n v="1"/>
    <n v="1"/>
    <n v="1"/>
    <n v="1"/>
    <x v="0"/>
  </r>
  <r>
    <x v="150"/>
    <s v="Lmt Account"/>
    <s v="Rabriel Investments Hoima"/>
    <n v="0.82777777777777772"/>
    <n v="0.7"/>
    <n v="1"/>
    <n v="0.98148148148148151"/>
    <n v="0.87731481481481477"/>
    <x v="0"/>
  </r>
  <r>
    <x v="151"/>
    <s v="Lmt Account"/>
    <s v="Mofunds Ltd"/>
    <n v="0.9458333333333333"/>
    <n v="1"/>
    <n v="0.89772727272727271"/>
    <n v="0.97222222222222221"/>
    <n v="0.95394570707070714"/>
    <x v="0"/>
  </r>
  <r>
    <x v="152"/>
    <s v="Lmt Account"/>
    <s v="Namwagale Business Enterprises"/>
    <n v="0.93333333333333335"/>
    <n v="1"/>
    <n v="1"/>
    <n v="1"/>
    <n v="0.98333333333333339"/>
    <x v="0"/>
  </r>
  <r>
    <x v="153"/>
    <s v="Lmt Account"/>
    <s v="Salvo Grima Kampala"/>
    <n v="0.92777777777777781"/>
    <n v="0.98333333333333328"/>
    <n v="0.97727272727272729"/>
    <n v="0.79629629629629628"/>
    <n v="0.92117003367003358"/>
    <x v="0"/>
  </r>
  <r>
    <x v="154"/>
    <s v="Lmt Account"/>
    <s v="Dredro Distributors"/>
    <n v="1"/>
    <n v="1"/>
    <n v="1"/>
    <n v="0.99259259259259258"/>
    <n v="0.99814814814814812"/>
    <x v="0"/>
  </r>
  <r>
    <x v="155"/>
    <s v="Lmt Account"/>
    <s v="Dredro Distributors"/>
    <n v="1"/>
    <n v="1"/>
    <n v="1"/>
    <n v="1"/>
    <n v="1"/>
    <x v="0"/>
  </r>
  <r>
    <x v="156"/>
    <s v="Lmt Account"/>
    <s v="Salvo Grima Kampala"/>
    <n v="1"/>
    <n v="1"/>
    <n v="1"/>
    <n v="1"/>
    <n v="1"/>
    <x v="0"/>
  </r>
  <r>
    <x v="157"/>
    <s v="Lmt Account"/>
    <s v="Zeripen Investments Limited"/>
    <n v="0.97678018575851389"/>
    <n v="0.96176470588235297"/>
    <n v="0.9866310160427807"/>
    <n v="0.98692810457516345"/>
    <n v="0.97802600306470278"/>
    <x v="0"/>
  </r>
  <r>
    <x v="158"/>
    <s v="Lmt Account"/>
    <s v="Zeripen Investments Limited"/>
    <n v="0.93888888888888888"/>
    <n v="0.93333333333333335"/>
    <n v="0.9242424242424242"/>
    <n v="0.7407407407407407"/>
    <n v="0.88430134680134675"/>
    <x v="0"/>
  </r>
  <r>
    <x v="159"/>
    <s v="Lmt Account"/>
    <s v="Dredro Distributors"/>
    <n v="0.98333333333333328"/>
    <n v="1"/>
    <n v="0.98484848484848486"/>
    <n v="1"/>
    <n v="0.99204545454545456"/>
    <x v="0"/>
  </r>
  <r>
    <x v="160"/>
    <s v="Lmt Account"/>
    <s v="Dredro Distributors"/>
    <n v="0.97222222222222221"/>
    <n v="1"/>
    <n v="0.90530303030303028"/>
    <n v="1"/>
    <n v="0.96938131313131315"/>
    <x v="0"/>
  </r>
  <r>
    <x v="161"/>
    <s v="Lmt Account"/>
    <s v="Davakam Collections Ltd Kampala"/>
    <n v="0.98095238095238091"/>
    <n v="0.98571428571428577"/>
    <n v="0.87662337662337664"/>
    <n v="0.82539682539682535"/>
    <n v="0.91717171717171708"/>
    <x v="0"/>
  </r>
  <r>
    <x v="0"/>
    <s v="Lmt Account"/>
    <s v="Dredro Distributors"/>
    <n v="0.77777777777777779"/>
    <n v="1"/>
    <m/>
    <m/>
    <n v="0.88888888888888884"/>
    <x v="1"/>
  </r>
  <r>
    <x v="1"/>
    <s v="Lmt Account"/>
    <s v="Qima Ventures Enterprises"/>
    <n v="1"/>
    <n v="1"/>
    <m/>
    <m/>
    <n v="1"/>
    <x v="1"/>
  </r>
  <r>
    <x v="2"/>
    <s v="Lmt Account"/>
    <s v="Dredro Distributors"/>
    <n v="0.4"/>
    <n v="1"/>
    <m/>
    <m/>
    <n v="0.7"/>
    <x v="1"/>
  </r>
  <r>
    <x v="3"/>
    <s v="Lmt Account"/>
    <s v="Gt Trading Limited"/>
    <n v="1"/>
    <n v="1"/>
    <m/>
    <m/>
    <n v="1"/>
    <x v="1"/>
  </r>
  <r>
    <x v="4"/>
    <s v="Lmt Account"/>
    <s v="Falkan Investments Ltd Mbarara"/>
    <n v="0.45454545454545453"/>
    <n v="1"/>
    <m/>
    <m/>
    <n v="0.72727272727272729"/>
    <x v="1"/>
  </r>
  <r>
    <x v="5"/>
    <s v="Lmt Account"/>
    <s v="Qima Ventures Enterprises"/>
    <n v="0.4"/>
    <n v="1"/>
    <m/>
    <m/>
    <n v="0.7"/>
    <x v="1"/>
  </r>
  <r>
    <x v="6"/>
    <s v="Lmt Account"/>
    <s v="Salvo Grima Fortportal"/>
    <n v="0.4"/>
    <n v="1"/>
    <m/>
    <m/>
    <n v="0.7"/>
    <x v="1"/>
  </r>
  <r>
    <x v="7"/>
    <s v="Lmt Account"/>
    <s v="Zeripen Investments Limited"/>
    <n v="1"/>
    <n v="1"/>
    <m/>
    <m/>
    <n v="1"/>
    <x v="1"/>
  </r>
  <r>
    <x v="8"/>
    <s v="Lmt Account"/>
    <s v="Qima Ventures Enterprises"/>
    <n v="0.63636363636363635"/>
    <n v="1"/>
    <m/>
    <m/>
    <n v="0.81818181818181812"/>
    <x v="1"/>
  </r>
  <r>
    <x v="9"/>
    <s v="Lmt Account"/>
    <s v="Salvo Grima Kampala"/>
    <n v="0.85"/>
    <n v="1"/>
    <m/>
    <m/>
    <n v="0.92500000000000004"/>
    <x v="1"/>
  </r>
  <r>
    <x v="10"/>
    <s v="Lmt Account"/>
    <s v="Salvo Grima Kampala"/>
    <n v="0.55000000000000004"/>
    <n v="1"/>
    <m/>
    <m/>
    <n v="0.77500000000000002"/>
    <x v="1"/>
  </r>
  <r>
    <x v="11"/>
    <s v="Capital Account"/>
    <s v="Dhl"/>
    <n v="0.22222222222222221"/>
    <n v="1"/>
    <m/>
    <m/>
    <n v="0.61111111111111116"/>
    <x v="1"/>
  </r>
  <r>
    <x v="12"/>
    <s v="Capital Account"/>
    <s v="Dhl"/>
    <n v="0.38636363636363635"/>
    <n v="1"/>
    <m/>
    <m/>
    <n v="0.69318181818181812"/>
    <x v="1"/>
  </r>
  <r>
    <x v="13"/>
    <s v="Capital Account"/>
    <s v="Dhl"/>
    <n v="0.2"/>
    <n v="1"/>
    <m/>
    <m/>
    <n v="0.6"/>
    <x v="1"/>
  </r>
  <r>
    <x v="14"/>
    <s v="Capital Account"/>
    <s v="Dhl"/>
    <n v="0.22222222222222221"/>
    <n v="1"/>
    <m/>
    <m/>
    <n v="0.61111111111111116"/>
    <x v="1"/>
  </r>
  <r>
    <x v="15"/>
    <s v="Carrefour Account"/>
    <s v="Dhl"/>
    <n v="0.44444444444444442"/>
    <n v="1"/>
    <m/>
    <m/>
    <n v="0.72222222222222221"/>
    <x v="1"/>
  </r>
  <r>
    <x v="16"/>
    <s v="Carrefour Account"/>
    <s v="Dhl"/>
    <n v="0.4"/>
    <n v="0.66666666666666663"/>
    <m/>
    <m/>
    <n v="0.53333333333333333"/>
    <x v="1"/>
  </r>
  <r>
    <x v="17"/>
    <s v="Carrefour Account"/>
    <s v="Dhl"/>
    <n v="0.4"/>
    <n v="1"/>
    <m/>
    <m/>
    <n v="0.7"/>
    <x v="1"/>
  </r>
  <r>
    <x v="18"/>
    <s v="Carrefour Account"/>
    <s v="Dhl"/>
    <n v="0.4"/>
    <n v="1"/>
    <m/>
    <m/>
    <n v="0.7"/>
    <x v="1"/>
  </r>
  <r>
    <x v="19"/>
    <s v="Carrefour Account"/>
    <s v="Dhl"/>
    <n v="0.46153846153846156"/>
    <n v="1"/>
    <m/>
    <m/>
    <n v="0.73076923076923084"/>
    <x v="1"/>
  </r>
  <r>
    <x v="20"/>
    <s v="Carrefour Account"/>
    <s v="Dhl"/>
    <n v="0.47058823529411764"/>
    <n v="1"/>
    <m/>
    <m/>
    <n v="0.73529411764705888"/>
    <x v="1"/>
  </r>
  <r>
    <x v="21"/>
    <s v="Carrefour Account"/>
    <s v="Dhl"/>
    <n v="0.4"/>
    <n v="1"/>
    <m/>
    <m/>
    <n v="0.7"/>
    <x v="1"/>
  </r>
  <r>
    <x v="22"/>
    <s v="Lmt Account"/>
    <s v="Davakam Collections Ltd Kampala"/>
    <n v="0.62962962962962965"/>
    <n v="1"/>
    <m/>
    <m/>
    <n v="0.81481481481481488"/>
    <x v="1"/>
  </r>
  <r>
    <x v="23"/>
    <s v="Lmt Account"/>
    <s v="Davakam Collections Ltd Kampala"/>
    <n v="1"/>
    <n v="1"/>
    <m/>
    <m/>
    <n v="1"/>
    <x v="1"/>
  </r>
  <r>
    <x v="24"/>
    <s v="Lmt Account"/>
    <s v="Zeripen Investments Limited"/>
    <n v="0.75"/>
    <n v="1"/>
    <m/>
    <m/>
    <n v="0.875"/>
    <x v="1"/>
  </r>
  <r>
    <x v="25"/>
    <s v="Lmt Account"/>
    <s v="Salvo Grima Kampala"/>
    <n v="0.86363636363636365"/>
    <n v="1"/>
    <m/>
    <m/>
    <n v="0.93181818181818188"/>
    <x v="1"/>
  </r>
  <r>
    <x v="27"/>
    <s v="Lmt Account"/>
    <s v="Salvo Grima Kampala"/>
    <n v="0.9"/>
    <n v="1"/>
    <m/>
    <m/>
    <n v="0.95"/>
    <x v="1"/>
  </r>
  <r>
    <x v="28"/>
    <s v="Lmt Account"/>
    <s v="Salvo Grima Kampala"/>
    <n v="0.4"/>
    <n v="1"/>
    <m/>
    <m/>
    <n v="0.7"/>
    <x v="1"/>
  </r>
  <r>
    <x v="29"/>
    <s v="Lmt Account"/>
    <s v="Salvo Grima Kampala"/>
    <n v="0.64"/>
    <n v="1"/>
    <m/>
    <m/>
    <n v="0.82000000000000006"/>
    <x v="1"/>
  </r>
  <r>
    <x v="30"/>
    <s v="Lmt Account"/>
    <s v="Salvo Grima Kampala"/>
    <n v="0.4"/>
    <n v="1"/>
    <m/>
    <m/>
    <n v="0.7"/>
    <x v="1"/>
  </r>
  <r>
    <x v="31"/>
    <s v="Lmt Account"/>
    <s v="Mofunds Ltd"/>
    <n v="1"/>
    <n v="1"/>
    <m/>
    <m/>
    <n v="1"/>
    <x v="1"/>
  </r>
  <r>
    <x v="33"/>
    <s v="Lmt Account"/>
    <s v="Jadma"/>
    <n v="0.4"/>
    <n v="1"/>
    <m/>
    <m/>
    <n v="0.7"/>
    <x v="1"/>
  </r>
  <r>
    <x v="34"/>
    <s v="Lmt Account"/>
    <s v="Dredro Distributors"/>
    <n v="0.55000000000000004"/>
    <n v="1"/>
    <m/>
    <m/>
    <n v="0.77500000000000002"/>
    <x v="1"/>
  </r>
  <r>
    <x v="36"/>
    <s v="Lmt Account"/>
    <s v="Salvo Grima Kampala"/>
    <n v="0.44444444444444442"/>
    <n v="1"/>
    <m/>
    <m/>
    <n v="0.72222222222222221"/>
    <x v="1"/>
  </r>
  <r>
    <x v="37"/>
    <s v="Lmt Account"/>
    <s v="Zeripen Investments Limited"/>
    <n v="1"/>
    <n v="1"/>
    <m/>
    <m/>
    <n v="1"/>
    <x v="1"/>
  </r>
  <r>
    <x v="38"/>
    <s v="Lmt Account"/>
    <s v="Zeripen Investments Limited"/>
    <n v="0.88888888888888884"/>
    <n v="1"/>
    <m/>
    <m/>
    <n v="0.94444444444444442"/>
    <x v="1"/>
  </r>
  <r>
    <x v="39"/>
    <s v="Lmt Account"/>
    <s v="Salvo Grima Kampala"/>
    <n v="0.6470588235294118"/>
    <n v="1"/>
    <m/>
    <m/>
    <n v="0.82352941176470584"/>
    <x v="1"/>
  </r>
  <r>
    <x v="40"/>
    <s v="Lmt Account"/>
    <s v="Rabriel Investments Gulu"/>
    <n v="1"/>
    <n v="1"/>
    <m/>
    <m/>
    <n v="1"/>
    <x v="1"/>
  </r>
  <r>
    <x v="41"/>
    <s v="Lmt Account"/>
    <s v="Davakam Collections Ltd Mubende"/>
    <n v="0.4"/>
    <n v="1"/>
    <m/>
    <m/>
    <n v="0.7"/>
    <x v="1"/>
  </r>
  <r>
    <x v="42"/>
    <s v="Lmt Account"/>
    <s v="Falkan Investments Ltd Mbarara"/>
    <n v="0.4"/>
    <n v="1"/>
    <m/>
    <m/>
    <n v="0.7"/>
    <x v="1"/>
  </r>
  <r>
    <x v="43"/>
    <s v="Lmt Account"/>
    <s v="Salvo Grima Kampala"/>
    <n v="0.45454545454545453"/>
    <n v="1"/>
    <m/>
    <m/>
    <n v="0.72727272727272729"/>
    <x v="1"/>
  </r>
  <r>
    <x v="44"/>
    <s v="Lmt Account"/>
    <s v="Davakam Collections Ltd Kampala"/>
    <n v="0.36363636363636365"/>
    <n v="1"/>
    <m/>
    <m/>
    <n v="0.68181818181818188"/>
    <x v="1"/>
  </r>
  <r>
    <x v="45"/>
    <s v="Lmt Account"/>
    <s v="Zeripen Investments Limited"/>
    <n v="0.86363636363636365"/>
    <n v="1"/>
    <m/>
    <m/>
    <n v="0.93181818181818188"/>
    <x v="1"/>
  </r>
  <r>
    <x v="46"/>
    <s v="Lmt Account"/>
    <s v="Zeripen Investments Limited"/>
    <n v="1"/>
    <n v="1"/>
    <m/>
    <m/>
    <n v="1"/>
    <x v="1"/>
  </r>
  <r>
    <x v="47"/>
    <s v="Lmt Account"/>
    <s v="Zeripen Investments Limited"/>
    <n v="1"/>
    <n v="1"/>
    <m/>
    <m/>
    <n v="1"/>
    <x v="1"/>
  </r>
  <r>
    <x v="48"/>
    <s v="Ecomart Account"/>
    <s v="Dhl"/>
    <n v="1"/>
    <n v="1"/>
    <m/>
    <m/>
    <n v="1"/>
    <x v="1"/>
  </r>
  <r>
    <x v="49"/>
    <s v="Ecomart Account"/>
    <s v="Dhl"/>
    <n v="1"/>
    <n v="1"/>
    <m/>
    <m/>
    <n v="1"/>
    <x v="1"/>
  </r>
  <r>
    <x v="50"/>
    <s v="Ecomart Account"/>
    <s v="Dhl"/>
    <n v="1"/>
    <n v="1"/>
    <m/>
    <m/>
    <n v="1"/>
    <x v="1"/>
  </r>
  <r>
    <x v="51"/>
    <s v="Ecomart Account"/>
    <s v="Dhl"/>
    <n v="1"/>
    <n v="1"/>
    <m/>
    <m/>
    <n v="1"/>
    <x v="1"/>
  </r>
  <r>
    <x v="52"/>
    <s v="Lmt Account"/>
    <s v="Zeripen Investments Limited"/>
    <n v="1"/>
    <n v="1"/>
    <m/>
    <m/>
    <n v="1"/>
    <x v="1"/>
  </r>
  <r>
    <x v="53"/>
    <s v="Lmt Account"/>
    <s v="Davakam Collections Ltd Kampala"/>
    <n v="1"/>
    <n v="1"/>
    <m/>
    <m/>
    <n v="1"/>
    <x v="1"/>
  </r>
  <r>
    <x v="54"/>
    <s v="Lmt Account"/>
    <s v="Jadma"/>
    <n v="0.59090909090909094"/>
    <n v="1"/>
    <m/>
    <m/>
    <n v="0.79545454545454541"/>
    <x v="1"/>
  </r>
  <r>
    <x v="55"/>
    <s v="Lmt Account"/>
    <s v="Jadma"/>
    <n v="0.4"/>
    <n v="1"/>
    <m/>
    <m/>
    <n v="0.7"/>
    <x v="1"/>
  </r>
  <r>
    <x v="56"/>
    <s v="Lmt Account"/>
    <s v="Salvo Grima Kampala"/>
    <n v="0.4"/>
    <n v="1"/>
    <m/>
    <m/>
    <n v="0.7"/>
    <x v="1"/>
  </r>
  <r>
    <x v="57"/>
    <s v="Fraine Account"/>
    <s v="Dhl"/>
    <n v="0.4"/>
    <n v="1"/>
    <m/>
    <m/>
    <n v="0.7"/>
    <x v="1"/>
  </r>
  <r>
    <x v="58"/>
    <s v="Fraine Account"/>
    <s v="Dhl"/>
    <n v="0.4"/>
    <n v="1"/>
    <m/>
    <m/>
    <n v="0.7"/>
    <x v="1"/>
  </r>
  <r>
    <x v="59"/>
    <s v="Fraine Account"/>
    <s v="Dhl"/>
    <n v="1"/>
    <n v="1"/>
    <m/>
    <m/>
    <n v="1"/>
    <x v="1"/>
  </r>
  <r>
    <x v="60"/>
    <s v="Fraine Account"/>
    <s v="Dhl"/>
    <n v="1"/>
    <n v="1"/>
    <m/>
    <m/>
    <n v="1"/>
    <x v="1"/>
  </r>
  <r>
    <x v="61"/>
    <s v="Fraine Account"/>
    <s v="Dhl"/>
    <n v="1"/>
    <n v="1"/>
    <m/>
    <m/>
    <n v="1"/>
    <x v="1"/>
  </r>
  <r>
    <x v="64"/>
    <s v="Lmt Account"/>
    <s v="Falkan Investments Ltd Mbarara"/>
    <n v="0.85"/>
    <n v="1"/>
    <m/>
    <m/>
    <n v="0.92500000000000004"/>
    <x v="1"/>
  </r>
  <r>
    <x v="65"/>
    <s v="Lmt Account"/>
    <s v="Rabriel Investments Hoima"/>
    <n v="1"/>
    <n v="1"/>
    <m/>
    <m/>
    <n v="1"/>
    <x v="1"/>
  </r>
  <r>
    <x v="66"/>
    <s v="Lmt Account"/>
    <s v="Namwagale Business Enterprises"/>
    <n v="1"/>
    <n v="1"/>
    <m/>
    <m/>
    <n v="1"/>
    <x v="1"/>
  </r>
  <r>
    <x v="67"/>
    <s v="Lmt Account"/>
    <s v="Gt Trading Limited"/>
    <n v="0.8"/>
    <n v="1"/>
    <m/>
    <m/>
    <n v="0.9"/>
    <x v="1"/>
  </r>
  <r>
    <x v="68"/>
    <s v="Lmt Account"/>
    <s v="Salvo Grima Kampala"/>
    <n v="0.77777777777777779"/>
    <n v="1"/>
    <m/>
    <m/>
    <n v="0.88888888888888884"/>
    <x v="1"/>
  </r>
  <r>
    <x v="69"/>
    <s v="Lmt Account"/>
    <s v="Qima Ventures Enterprises"/>
    <n v="0.77777777777777779"/>
    <n v="1"/>
    <m/>
    <m/>
    <n v="0.88888888888888884"/>
    <x v="1"/>
  </r>
  <r>
    <x v="70"/>
    <s v="Lmt Account"/>
    <s v="Falkan Investments Ltd Mbarara"/>
    <n v="0.4"/>
    <n v="1"/>
    <m/>
    <m/>
    <n v="0.7"/>
    <x v="1"/>
  </r>
  <r>
    <x v="71"/>
    <s v="Lmt Account"/>
    <s v="Davakam Collections Ltd Kampala"/>
    <n v="1"/>
    <n v="1"/>
    <m/>
    <m/>
    <n v="1"/>
    <x v="1"/>
  </r>
  <r>
    <x v="72"/>
    <s v="Lmt Account"/>
    <s v="Zeripen Investments Limited"/>
    <n v="1"/>
    <n v="1"/>
    <m/>
    <m/>
    <n v="1"/>
    <x v="1"/>
  </r>
  <r>
    <x v="74"/>
    <s v="Lmt Account"/>
    <s v="Salvo Grima Kampala"/>
    <n v="0.44444444444444442"/>
    <n v="1"/>
    <m/>
    <m/>
    <n v="0.72222222222222221"/>
    <x v="1"/>
  </r>
  <r>
    <x v="75"/>
    <s v="Lmt Account"/>
    <s v="Davakam Collections Ltd Mubende"/>
    <n v="0.4"/>
    <n v="1"/>
    <m/>
    <m/>
    <n v="0.7"/>
    <x v="1"/>
  </r>
  <r>
    <x v="76"/>
    <s v="Lmt Account"/>
    <s v="Salvo Grima Kampala"/>
    <n v="0.72727272727272729"/>
    <n v="1"/>
    <m/>
    <m/>
    <n v="0.86363636363636365"/>
    <x v="1"/>
  </r>
  <r>
    <x v="77"/>
    <s v="Lmt Account"/>
    <s v="Salvo Grima Kampala"/>
    <n v="1"/>
    <n v="1"/>
    <m/>
    <m/>
    <n v="1"/>
    <x v="1"/>
  </r>
  <r>
    <x v="79"/>
    <s v="Lmt Account"/>
    <s v="Zeripen Investments Limited"/>
    <n v="0.4"/>
    <n v="1"/>
    <m/>
    <m/>
    <n v="0.7"/>
    <x v="1"/>
  </r>
  <r>
    <x v="81"/>
    <s v="Lmt Account"/>
    <s v="Davakam Collections Ltd Kampala"/>
    <n v="0.44444444444444442"/>
    <n v="1"/>
    <m/>
    <m/>
    <n v="0.72222222222222221"/>
    <x v="1"/>
  </r>
  <r>
    <x v="82"/>
    <s v="Lmt Account"/>
    <s v="Namwagale Business Enterprises"/>
    <n v="1"/>
    <n v="1"/>
    <m/>
    <m/>
    <n v="1"/>
    <x v="1"/>
  </r>
  <r>
    <x v="83"/>
    <s v="Lmt Account"/>
    <s v="Falkan Investments Ltd Mbarara"/>
    <n v="0.4"/>
    <n v="1"/>
    <m/>
    <m/>
    <n v="0.7"/>
    <x v="1"/>
  </r>
  <r>
    <x v="84"/>
    <s v="Lmt Account"/>
    <s v="Rabriel Investments Lira"/>
    <n v="0.44444444444444442"/>
    <n v="1"/>
    <m/>
    <m/>
    <n v="0.72222222222222221"/>
    <x v="1"/>
  </r>
  <r>
    <x v="85"/>
    <s v="Lmt Account"/>
    <s v="Salvo Grima Kampala"/>
    <n v="1"/>
    <n v="1"/>
    <m/>
    <m/>
    <n v="1"/>
    <x v="1"/>
  </r>
  <r>
    <x v="86"/>
    <s v="Lmt Account"/>
    <s v="Davakam Collections Ltd Kampala"/>
    <n v="0.9"/>
    <n v="1"/>
    <m/>
    <m/>
    <n v="0.95"/>
    <x v="1"/>
  </r>
  <r>
    <x v="87"/>
    <s v="Lmt Account"/>
    <s v="Zeripen Investments Limited"/>
    <n v="0.4"/>
    <n v="1"/>
    <m/>
    <m/>
    <n v="0.7"/>
    <x v="1"/>
  </r>
  <r>
    <x v="88"/>
    <s v="Lmt Account"/>
    <s v="Salvo Grima Masaka"/>
    <n v="0.2"/>
    <n v="1"/>
    <m/>
    <m/>
    <n v="0.6"/>
    <x v="1"/>
  </r>
  <r>
    <x v="89"/>
    <s v="Lmt Account"/>
    <s v="Rabriel Investments Lira"/>
    <n v="0.4"/>
    <n v="1"/>
    <m/>
    <m/>
    <n v="0.7"/>
    <x v="1"/>
  </r>
  <r>
    <x v="90"/>
    <s v="Lmt Account"/>
    <s v="Rabriel Investments Lira"/>
    <n v="0.6"/>
    <n v="1"/>
    <m/>
    <m/>
    <n v="0.8"/>
    <x v="1"/>
  </r>
  <r>
    <x v="91"/>
    <s v="Lmt Account"/>
    <s v="Rabriel Investments Lira"/>
    <n v="0.4"/>
    <n v="1"/>
    <m/>
    <m/>
    <n v="0.7"/>
    <x v="1"/>
  </r>
  <r>
    <x v="92"/>
    <s v="Lmt Account"/>
    <s v="Zeripen Investments Limited"/>
    <n v="0.55555555555555558"/>
    <n v="1"/>
    <m/>
    <m/>
    <n v="0.77777777777777779"/>
    <x v="1"/>
  </r>
  <r>
    <x v="93"/>
    <s v="Lmt Account"/>
    <s v="Salvo Grima Masaka"/>
    <n v="0.4"/>
    <n v="1"/>
    <m/>
    <m/>
    <n v="0.7"/>
    <x v="1"/>
  </r>
  <r>
    <x v="94"/>
    <s v="Lmt Account"/>
    <s v="Davakam Collections Ltd Kampala"/>
    <n v="1"/>
    <n v="1"/>
    <m/>
    <m/>
    <n v="1"/>
    <x v="1"/>
  </r>
  <r>
    <x v="95"/>
    <s v="Lmt Account"/>
    <s v="Mofunds Ltd"/>
    <n v="1"/>
    <n v="1"/>
    <m/>
    <m/>
    <n v="1"/>
    <x v="1"/>
  </r>
  <r>
    <x v="96"/>
    <s v="Lmt Account"/>
    <s v="Salvo Grima Kampala"/>
    <n v="0.55000000000000004"/>
    <n v="1"/>
    <m/>
    <m/>
    <n v="0.77500000000000002"/>
    <x v="1"/>
  </r>
  <r>
    <x v="98"/>
    <s v="Standard Account"/>
    <s v="Dhl"/>
    <n v="1"/>
    <n v="1"/>
    <m/>
    <m/>
    <n v="1"/>
    <x v="1"/>
  </r>
  <r>
    <x v="99"/>
    <s v="Lmt Account"/>
    <s v="Mofunds Ltd"/>
    <n v="1"/>
    <n v="1"/>
    <m/>
    <m/>
    <n v="1"/>
    <x v="1"/>
  </r>
  <r>
    <x v="100"/>
    <s v="Lmt Account"/>
    <s v="Mofunds Ltd"/>
    <n v="0.45454545454545453"/>
    <n v="1"/>
    <m/>
    <m/>
    <n v="0.72727272727272729"/>
    <x v="1"/>
  </r>
  <r>
    <x v="101"/>
    <s v="Lmt Account"/>
    <s v="Davakam Collections Ltd Kampala"/>
    <n v="0.55555555555555558"/>
    <n v="1"/>
    <m/>
    <m/>
    <n v="0.77777777777777779"/>
    <x v="1"/>
  </r>
  <r>
    <x v="102"/>
    <s v="Lmt Account"/>
    <s v="Dredro Distributors"/>
    <n v="0.6"/>
    <n v="1"/>
    <m/>
    <m/>
    <n v="0.8"/>
    <x v="1"/>
  </r>
  <r>
    <x v="103"/>
    <s v="Lmt Account"/>
    <s v="Davakam Collections Ltd Kampala"/>
    <n v="0.44444444444444442"/>
    <n v="0.66666666666666663"/>
    <m/>
    <m/>
    <n v="0.55555555555555558"/>
    <x v="1"/>
  </r>
  <r>
    <x v="104"/>
    <s v="Lmt Account"/>
    <s v="Salvo Grima Masaka"/>
    <n v="0.4"/>
    <n v="1"/>
    <m/>
    <m/>
    <n v="0.7"/>
    <x v="1"/>
  </r>
  <r>
    <x v="105"/>
    <s v="Lmt Account"/>
    <s v="Namwagale Business Enterprises"/>
    <n v="1"/>
    <n v="1"/>
    <m/>
    <m/>
    <n v="1"/>
    <x v="1"/>
  </r>
  <r>
    <x v="106"/>
    <s v="Lmt Account"/>
    <s v="Qima Ventures Enterprises"/>
    <n v="1"/>
    <n v="0.75"/>
    <m/>
    <m/>
    <n v="0.875"/>
    <x v="1"/>
  </r>
  <r>
    <x v="107"/>
    <s v="Lmt Account"/>
    <s v="Dredro Distributors"/>
    <n v="1"/>
    <n v="1"/>
    <m/>
    <m/>
    <n v="1"/>
    <x v="1"/>
  </r>
  <r>
    <x v="108"/>
    <s v="Lmt Account"/>
    <s v="Dredro Distributors"/>
    <n v="0.7"/>
    <n v="1"/>
    <m/>
    <m/>
    <n v="0.85"/>
    <x v="1"/>
  </r>
  <r>
    <x v="109"/>
    <s v="Lmt Account"/>
    <s v="Rabriel Investments Lira"/>
    <n v="0.4"/>
    <n v="1"/>
    <m/>
    <m/>
    <n v="0.7"/>
    <x v="1"/>
  </r>
  <r>
    <x v="110"/>
    <s v="Lmt Account"/>
    <s v="Gt Trading Limited"/>
    <n v="0.55000000000000004"/>
    <n v="1"/>
    <m/>
    <m/>
    <n v="0.77500000000000002"/>
    <x v="1"/>
  </r>
  <r>
    <x v="111"/>
    <s v="Lmt Account"/>
    <s v="Qima Ventures Enterprises"/>
    <n v="1"/>
    <n v="1"/>
    <m/>
    <m/>
    <n v="1"/>
    <x v="1"/>
  </r>
  <r>
    <x v="112"/>
    <s v="Lmt Account"/>
    <s v="Rabriel Investments Lira"/>
    <n v="0.44444444444444442"/>
    <n v="1"/>
    <m/>
    <m/>
    <n v="0.72222222222222221"/>
    <x v="1"/>
  </r>
  <r>
    <x v="113"/>
    <s v="Lmt Account"/>
    <s v="Zeripen Investments Limited"/>
    <n v="0.75"/>
    <n v="1"/>
    <m/>
    <m/>
    <n v="0.875"/>
    <x v="1"/>
  </r>
  <r>
    <x v="114"/>
    <s v="Lmt Account"/>
    <s v="Zeripen Investments Limited"/>
    <n v="0.8"/>
    <n v="1"/>
    <m/>
    <m/>
    <n v="0.9"/>
    <x v="1"/>
  </r>
  <r>
    <x v="116"/>
    <s v="Lmt Account"/>
    <s v="Salvo Grima Kampala"/>
    <n v="0.77777777777777779"/>
    <n v="1"/>
    <m/>
    <m/>
    <n v="0.88888888888888884"/>
    <x v="1"/>
  </r>
  <r>
    <x v="117"/>
    <s v="Lmt Account"/>
    <s v="Salvo Grima Masaka"/>
    <n v="0.6"/>
    <n v="1"/>
    <m/>
    <m/>
    <n v="0.8"/>
    <x v="1"/>
  </r>
  <r>
    <x v="118"/>
    <s v="Lmt Account"/>
    <s v="Mofunds Ltd"/>
    <n v="1"/>
    <n v="1"/>
    <m/>
    <m/>
    <n v="1"/>
    <x v="1"/>
  </r>
  <r>
    <x v="119"/>
    <s v="Lmt Account"/>
    <s v="Zeripen Investments Limited"/>
    <n v="1"/>
    <n v="1"/>
    <m/>
    <m/>
    <n v="1"/>
    <x v="1"/>
  </r>
  <r>
    <x v="121"/>
    <s v="Lmt Account"/>
    <s v="Qima Ventures Enterprises"/>
    <n v="0.7"/>
    <n v="1"/>
    <m/>
    <m/>
    <n v="0.85"/>
    <x v="1"/>
  </r>
  <r>
    <x v="122"/>
    <s v="Quality Account"/>
    <s v="Dhl"/>
    <n v="0.44444444444444442"/>
    <n v="1"/>
    <m/>
    <m/>
    <n v="0.72222222222222221"/>
    <x v="1"/>
  </r>
  <r>
    <x v="123"/>
    <s v="Quality Account"/>
    <s v="Dhl"/>
    <n v="0.4"/>
    <n v="1"/>
    <m/>
    <m/>
    <n v="0.7"/>
    <x v="1"/>
  </r>
  <r>
    <x v="124"/>
    <s v="Quality Account"/>
    <s v="Dhl"/>
    <n v="0.44444444444444442"/>
    <n v="1"/>
    <m/>
    <m/>
    <n v="0.72222222222222221"/>
    <x v="1"/>
  </r>
  <r>
    <x v="125"/>
    <s v="Quality Account"/>
    <s v="Dhl"/>
    <n v="0.4"/>
    <n v="1"/>
    <m/>
    <m/>
    <n v="0.7"/>
    <x v="1"/>
  </r>
  <r>
    <x v="127"/>
    <s v="Lmt Account"/>
    <s v="Salvo Grima Kampala"/>
    <n v="0.4"/>
    <n v="1"/>
    <m/>
    <m/>
    <n v="0.7"/>
    <x v="1"/>
  </r>
  <r>
    <x v="128"/>
    <s v="Lmt Account"/>
    <s v="Falkan Investments Ltd Mbarara"/>
    <n v="0.88888888888888884"/>
    <n v="1"/>
    <m/>
    <m/>
    <n v="0.94444444444444442"/>
    <x v="1"/>
  </r>
  <r>
    <x v="129"/>
    <s v="Lmt Account"/>
    <s v="Qima Ventures Enterprises"/>
    <n v="0.66666666666666663"/>
    <n v="1"/>
    <m/>
    <m/>
    <n v="0.83333333333333326"/>
    <x v="1"/>
  </r>
  <r>
    <x v="130"/>
    <s v="Lmt Account"/>
    <s v="Gt Trading Limited"/>
    <n v="1"/>
    <n v="1"/>
    <m/>
    <m/>
    <n v="1"/>
    <x v="1"/>
  </r>
  <r>
    <x v="131"/>
    <s v="Lmt Account"/>
    <s v="Davakam Collections Ltd Mubende"/>
    <n v="0.4"/>
    <n v="1"/>
    <m/>
    <m/>
    <n v="0.7"/>
    <x v="1"/>
  </r>
  <r>
    <x v="132"/>
    <s v="Lmt Account"/>
    <s v="Salvo Grima Kampala"/>
    <n v="0.44444444444444442"/>
    <n v="1"/>
    <m/>
    <m/>
    <n v="0.72222222222222221"/>
    <x v="1"/>
  </r>
  <r>
    <x v="133"/>
    <s v="Lmt Account"/>
    <s v="Salvo Grima Kampala"/>
    <n v="0.8"/>
    <n v="1"/>
    <m/>
    <m/>
    <n v="0.9"/>
    <x v="1"/>
  </r>
  <r>
    <x v="134"/>
    <s v="Lmt Account"/>
    <s v="Zeripen Investments Limited"/>
    <n v="0.55555555555555558"/>
    <n v="1"/>
    <m/>
    <m/>
    <n v="0.77777777777777779"/>
    <x v="1"/>
  </r>
  <r>
    <x v="135"/>
    <s v="Lmt Account"/>
    <s v="Davakam Collections Ltd Kampala"/>
    <n v="0.8"/>
    <n v="1"/>
    <m/>
    <m/>
    <n v="0.9"/>
    <x v="1"/>
  </r>
  <r>
    <x v="136"/>
    <s v="Lmt Account"/>
    <s v="Qima Ventures Enterprises"/>
    <n v="0.81818181818181823"/>
    <n v="1"/>
    <m/>
    <m/>
    <n v="0.90909090909090917"/>
    <x v="1"/>
  </r>
  <r>
    <x v="137"/>
    <s v="Lmt Account"/>
    <s v="Salvo Grima Fortportal"/>
    <n v="0.6"/>
    <n v="1"/>
    <m/>
    <m/>
    <n v="0.8"/>
    <x v="1"/>
  </r>
  <r>
    <x v="138"/>
    <s v="Lmt Account"/>
    <s v="Namwagale Business Enterprises"/>
    <n v="1"/>
    <n v="1"/>
    <m/>
    <m/>
    <n v="1"/>
    <x v="1"/>
  </r>
  <r>
    <x v="139"/>
    <s v="Lmt Account"/>
    <s v="Salvo Grima Fortportal"/>
    <n v="0.6"/>
    <n v="1"/>
    <m/>
    <m/>
    <n v="0.8"/>
    <x v="1"/>
  </r>
  <r>
    <x v="140"/>
    <s v="Lmt Account"/>
    <s v="Davakam Collections Ltd Kampala"/>
    <n v="1"/>
    <n v="1"/>
    <m/>
    <m/>
    <n v="1"/>
    <x v="1"/>
  </r>
  <r>
    <x v="141"/>
    <s v="Lmt Account"/>
    <s v="Salvo Grima Kampala"/>
    <n v="0.5"/>
    <n v="1"/>
    <m/>
    <m/>
    <n v="0.75"/>
    <x v="1"/>
  </r>
  <r>
    <x v="142"/>
    <s v="Lmt Account"/>
    <s v="Rabriel Investments Gulu"/>
    <n v="1"/>
    <n v="1"/>
    <m/>
    <m/>
    <n v="1"/>
    <x v="1"/>
  </r>
  <r>
    <x v="143"/>
    <s v="Lmt Account"/>
    <s v="Davakam Collections Ltd Kampala"/>
    <n v="0.4"/>
    <n v="1"/>
    <m/>
    <m/>
    <n v="0.7"/>
    <x v="1"/>
  </r>
  <r>
    <x v="144"/>
    <s v="Lmt Account"/>
    <s v="Salvo Grima Kampala"/>
    <n v="0.4"/>
    <n v="1"/>
    <m/>
    <m/>
    <n v="0.7"/>
    <x v="1"/>
  </r>
  <r>
    <x v="145"/>
    <s v="Lmt Account"/>
    <s v="Davakam Collections Ltd Kampala"/>
    <n v="1"/>
    <n v="1"/>
    <m/>
    <m/>
    <n v="1"/>
    <x v="1"/>
  </r>
  <r>
    <x v="146"/>
    <s v="Lmt Account"/>
    <s v="Mofunds Ltd"/>
    <n v="1"/>
    <n v="1"/>
    <m/>
    <m/>
    <n v="1"/>
    <x v="1"/>
  </r>
  <r>
    <x v="147"/>
    <s v="Standard Account"/>
    <s v="Dhl"/>
    <n v="1"/>
    <n v="1"/>
    <m/>
    <m/>
    <n v="1"/>
    <x v="1"/>
  </r>
  <r>
    <x v="148"/>
    <s v="Standard Account"/>
    <s v="Dhl"/>
    <n v="1"/>
    <n v="1"/>
    <m/>
    <m/>
    <n v="1"/>
    <x v="1"/>
  </r>
  <r>
    <x v="149"/>
    <s v="Standard Account"/>
    <s v="Dhl"/>
    <n v="1"/>
    <n v="1"/>
    <m/>
    <m/>
    <n v="1"/>
    <x v="1"/>
  </r>
  <r>
    <x v="150"/>
    <s v="Lmt Account"/>
    <s v="Rabriel Investments Hoima"/>
    <n v="0.4"/>
    <n v="1"/>
    <m/>
    <m/>
    <n v="0.7"/>
    <x v="1"/>
  </r>
  <r>
    <x v="151"/>
    <s v="Lmt Account"/>
    <s v="Mofunds Ltd"/>
    <n v="1"/>
    <n v="1"/>
    <m/>
    <m/>
    <n v="1"/>
    <x v="1"/>
  </r>
  <r>
    <x v="152"/>
    <s v="Lmt Account"/>
    <s v="Namwagale Business Enterprises"/>
    <n v="1"/>
    <n v="1"/>
    <m/>
    <m/>
    <n v="1"/>
    <x v="1"/>
  </r>
  <r>
    <x v="153"/>
    <s v="Lmt Account"/>
    <s v="Salvo Grima Kampala"/>
    <n v="0.66666666666666663"/>
    <n v="1"/>
    <m/>
    <m/>
    <n v="0.83333333333333326"/>
    <x v="1"/>
  </r>
  <r>
    <x v="154"/>
    <s v="Lmt Account"/>
    <s v="Dredro Distributors"/>
    <n v="0.4"/>
    <n v="1"/>
    <m/>
    <m/>
    <n v="0.7"/>
    <x v="1"/>
  </r>
  <r>
    <x v="155"/>
    <s v="Lmt Account"/>
    <s v="Dredro Distributors"/>
    <n v="0.6"/>
    <n v="1"/>
    <m/>
    <m/>
    <n v="0.8"/>
    <x v="1"/>
  </r>
  <r>
    <x v="156"/>
    <s v="Lmt Account"/>
    <s v="Salvo Grima Kampala"/>
    <n v="1"/>
    <n v="1"/>
    <m/>
    <m/>
    <n v="1"/>
    <x v="1"/>
  </r>
  <r>
    <x v="157"/>
    <s v="Lmt Account"/>
    <s v="Zeripen Investments Limited"/>
    <n v="1"/>
    <n v="1"/>
    <m/>
    <m/>
    <n v="1"/>
    <x v="1"/>
  </r>
  <r>
    <x v="158"/>
    <s v="Lmt Account"/>
    <s v="Zeripen Investments Limited"/>
    <n v="0.48148148148148145"/>
    <n v="1"/>
    <m/>
    <m/>
    <n v="0.7407407407407407"/>
    <x v="1"/>
  </r>
  <r>
    <x v="159"/>
    <s v="Lmt Account"/>
    <s v="Dredro Distributors"/>
    <n v="1"/>
    <n v="1"/>
    <m/>
    <m/>
    <n v="1"/>
    <x v="1"/>
  </r>
  <r>
    <x v="160"/>
    <s v="Lmt Account"/>
    <s v="Dredro Distributors"/>
    <n v="0.4"/>
    <n v="1"/>
    <m/>
    <m/>
    <n v="0.7"/>
    <x v="1"/>
  </r>
  <r>
    <x v="161"/>
    <s v="Lmt Account"/>
    <s v="Davakam Collections Ltd Kampala"/>
    <n v="0.4"/>
    <n v="1"/>
    <m/>
    <m/>
    <n v="0.7"/>
    <x v="1"/>
  </r>
  <r>
    <x v="0"/>
    <s v="Lmt Account"/>
    <s v="Dredro Distributors"/>
    <n v="1"/>
    <n v="1"/>
    <n v="1"/>
    <n v="1"/>
    <n v="1"/>
    <x v="2"/>
  </r>
  <r>
    <x v="1"/>
    <s v="Lmt Account"/>
    <s v="Qima Ventures Enterprises"/>
    <n v="1"/>
    <n v="1"/>
    <n v="1"/>
    <n v="1"/>
    <n v="1"/>
    <x v="2"/>
  </r>
  <r>
    <x v="2"/>
    <s v="Lmt Account"/>
    <s v="Dredro Distributors"/>
    <n v="1"/>
    <n v="1"/>
    <n v="1"/>
    <n v="1"/>
    <n v="1"/>
    <x v="2"/>
  </r>
  <r>
    <x v="3"/>
    <s v="Lmt Account"/>
    <s v="Gt Trading Limited"/>
    <n v="1"/>
    <n v="1"/>
    <n v="1"/>
    <n v="1"/>
    <n v="1"/>
    <x v="2"/>
  </r>
  <r>
    <x v="4"/>
    <s v="Lmt Account"/>
    <s v="Falkan Investments Ltd Mbarara"/>
    <n v="1"/>
    <n v="1"/>
    <n v="1"/>
    <n v="1"/>
    <n v="1"/>
    <x v="2"/>
  </r>
  <r>
    <x v="5"/>
    <s v="Lmt Account"/>
    <s v="Qima Ventures Enterprises"/>
    <n v="1"/>
    <n v="1"/>
    <n v="1"/>
    <n v="1"/>
    <n v="1"/>
    <x v="2"/>
  </r>
  <r>
    <x v="6"/>
    <s v="Lmt Account"/>
    <s v="Salvo Grima Fortportal"/>
    <n v="1"/>
    <n v="1"/>
    <n v="1"/>
    <n v="1"/>
    <n v="1"/>
    <x v="2"/>
  </r>
  <r>
    <x v="7"/>
    <s v="Lmt Account"/>
    <s v="Zeripen Investments Limited"/>
    <n v="1"/>
    <n v="1"/>
    <n v="1"/>
    <n v="1"/>
    <n v="1"/>
    <x v="2"/>
  </r>
  <r>
    <x v="8"/>
    <s v="Lmt Account"/>
    <s v="Qima Ventures Enterprises"/>
    <n v="1"/>
    <n v="1"/>
    <n v="1"/>
    <n v="1"/>
    <n v="1"/>
    <x v="2"/>
  </r>
  <r>
    <x v="9"/>
    <s v="Lmt Account"/>
    <s v="Salvo Grima Kampala"/>
    <n v="1"/>
    <n v="1"/>
    <n v="1"/>
    <n v="1"/>
    <n v="1"/>
    <x v="2"/>
  </r>
  <r>
    <x v="10"/>
    <s v="Lmt Account"/>
    <s v="Salvo Grima Kampala"/>
    <n v="1"/>
    <n v="1"/>
    <n v="1"/>
    <n v="1"/>
    <n v="1"/>
    <x v="2"/>
  </r>
  <r>
    <x v="11"/>
    <s v="Capital Account"/>
    <s v="Dhl"/>
    <n v="1"/>
    <n v="1"/>
    <n v="1"/>
    <n v="1"/>
    <n v="1"/>
    <x v="2"/>
  </r>
  <r>
    <x v="12"/>
    <s v="Capital Account"/>
    <s v="Dhl"/>
    <n v="1"/>
    <n v="1"/>
    <n v="1"/>
    <n v="1"/>
    <n v="1"/>
    <x v="2"/>
  </r>
  <r>
    <x v="13"/>
    <s v="Capital Account"/>
    <s v="Dhl"/>
    <n v="1"/>
    <n v="1"/>
    <n v="1"/>
    <n v="1"/>
    <n v="1"/>
    <x v="2"/>
  </r>
  <r>
    <x v="14"/>
    <s v="Capital Account"/>
    <s v="Dhl"/>
    <n v="1"/>
    <n v="1"/>
    <n v="1"/>
    <n v="1"/>
    <n v="1"/>
    <x v="2"/>
  </r>
  <r>
    <x v="15"/>
    <s v="Carrefour Account"/>
    <s v="Dhl"/>
    <n v="0"/>
    <n v="0"/>
    <n v="0"/>
    <n v="0"/>
    <n v="0"/>
    <x v="2"/>
  </r>
  <r>
    <x v="16"/>
    <s v="Carrefour Account"/>
    <s v="Dhl"/>
    <n v="0"/>
    <n v="0"/>
    <n v="0"/>
    <n v="0"/>
    <n v="0"/>
    <x v="2"/>
  </r>
  <r>
    <x v="17"/>
    <s v="Carrefour Account"/>
    <s v="Dhl"/>
    <n v="0"/>
    <n v="0"/>
    <n v="0"/>
    <n v="0"/>
    <n v="0"/>
    <x v="2"/>
  </r>
  <r>
    <x v="18"/>
    <s v="Carrefour Account"/>
    <s v="Dhl"/>
    <n v="1"/>
    <n v="1"/>
    <n v="1"/>
    <n v="1"/>
    <n v="1"/>
    <x v="2"/>
  </r>
  <r>
    <x v="19"/>
    <s v="Carrefour Account"/>
    <s v="Dhl"/>
    <n v="0.6"/>
    <n v="0.6"/>
    <n v="0.6"/>
    <n v="0.6"/>
    <n v="0.6"/>
    <x v="2"/>
  </r>
  <r>
    <x v="20"/>
    <s v="Carrefour Account"/>
    <s v="Dhl"/>
    <n v="0.33333333333333331"/>
    <n v="0.33333333333333331"/>
    <n v="0.33333333333333331"/>
    <n v="0.33333333333333331"/>
    <n v="0.33333333333333331"/>
    <x v="2"/>
  </r>
  <r>
    <x v="21"/>
    <s v="Carrefour Account"/>
    <s v="Dhl"/>
    <n v="0"/>
    <n v="0"/>
    <n v="0"/>
    <n v="0"/>
    <n v="0"/>
    <x v="2"/>
  </r>
  <r>
    <x v="22"/>
    <s v="Lmt Account"/>
    <s v="Davakam Collections Ltd Kampala"/>
    <n v="1"/>
    <n v="1"/>
    <n v="1"/>
    <n v="1"/>
    <n v="1"/>
    <x v="2"/>
  </r>
  <r>
    <x v="23"/>
    <s v="Lmt Account"/>
    <s v="Davakam Collections Ltd Kampala"/>
    <n v="1"/>
    <n v="1"/>
    <n v="1"/>
    <n v="1"/>
    <n v="1"/>
    <x v="2"/>
  </r>
  <r>
    <x v="24"/>
    <s v="Lmt Account"/>
    <s v="Zeripen Investments Limited"/>
    <n v="1"/>
    <n v="1"/>
    <n v="1"/>
    <n v="1"/>
    <n v="1"/>
    <x v="2"/>
  </r>
  <r>
    <x v="25"/>
    <s v="Lmt Account"/>
    <s v="Salvo Grima Kampala"/>
    <n v="1"/>
    <n v="1"/>
    <n v="1"/>
    <n v="0"/>
    <n v="0.75"/>
    <x v="2"/>
  </r>
  <r>
    <x v="27"/>
    <s v="Lmt Account"/>
    <s v="Salvo Grima Kampala"/>
    <n v="1"/>
    <n v="1"/>
    <n v="1"/>
    <n v="1"/>
    <n v="1"/>
    <x v="2"/>
  </r>
  <r>
    <x v="28"/>
    <s v="Lmt Account"/>
    <s v="Salvo Grima Kampala"/>
    <n v="1"/>
    <n v="1"/>
    <n v="1"/>
    <n v="1"/>
    <n v="1"/>
    <x v="2"/>
  </r>
  <r>
    <x v="29"/>
    <s v="Lmt Account"/>
    <s v="Salvo Grima Kampala"/>
    <n v="1"/>
    <n v="1"/>
    <n v="1"/>
    <n v="1"/>
    <n v="1"/>
    <x v="2"/>
  </r>
  <r>
    <x v="30"/>
    <s v="Lmt Account"/>
    <s v="Salvo Grima Kampala"/>
    <n v="1"/>
    <n v="1"/>
    <n v="1"/>
    <n v="1"/>
    <n v="1"/>
    <x v="2"/>
  </r>
  <r>
    <x v="31"/>
    <s v="Lmt Account"/>
    <s v="Mofunds Ltd"/>
    <n v="1"/>
    <n v="1"/>
    <n v="1"/>
    <n v="1"/>
    <n v="1"/>
    <x v="2"/>
  </r>
  <r>
    <x v="33"/>
    <s v="Lmt Account"/>
    <s v="Jadma"/>
    <n v="1"/>
    <n v="1"/>
    <n v="1"/>
    <n v="1"/>
    <n v="1"/>
    <x v="2"/>
  </r>
  <r>
    <x v="34"/>
    <s v="Lmt Account"/>
    <s v="Dredro Distributors"/>
    <n v="1"/>
    <n v="1"/>
    <n v="1"/>
    <n v="1"/>
    <n v="1"/>
    <x v="2"/>
  </r>
  <r>
    <x v="36"/>
    <s v="Lmt Account"/>
    <s v="Salvo Grima Kampala"/>
    <n v="1"/>
    <n v="1"/>
    <n v="1"/>
    <n v="1"/>
    <n v="1"/>
    <x v="2"/>
  </r>
  <r>
    <x v="37"/>
    <s v="Lmt Account"/>
    <s v="Zeripen Investments Limited"/>
    <n v="1"/>
    <n v="1"/>
    <n v="1"/>
    <n v="1"/>
    <n v="1"/>
    <x v="2"/>
  </r>
  <r>
    <x v="38"/>
    <s v="Lmt Account"/>
    <s v="Zeripen Investments Limited"/>
    <n v="1"/>
    <n v="1"/>
    <n v="1"/>
    <n v="1"/>
    <n v="1"/>
    <x v="2"/>
  </r>
  <r>
    <x v="39"/>
    <s v="Lmt Account"/>
    <s v="Salvo Grima Kampala"/>
    <n v="1"/>
    <n v="1"/>
    <n v="1"/>
    <n v="1"/>
    <n v="1"/>
    <x v="2"/>
  </r>
  <r>
    <x v="40"/>
    <s v="Lmt Account"/>
    <s v="Rabriel Investments Gulu"/>
    <n v="1"/>
    <n v="1"/>
    <n v="1"/>
    <n v="1"/>
    <n v="1"/>
    <x v="2"/>
  </r>
  <r>
    <x v="41"/>
    <s v="Lmt Account"/>
    <s v="Davakam Collections Ltd Mubende"/>
    <n v="1"/>
    <n v="1"/>
    <n v="1"/>
    <n v="1"/>
    <n v="1"/>
    <x v="2"/>
  </r>
  <r>
    <x v="42"/>
    <s v="Lmt Account"/>
    <s v="Falkan Investments Ltd Mbarara"/>
    <n v="1"/>
    <n v="1"/>
    <n v="1"/>
    <n v="1"/>
    <n v="1"/>
    <x v="2"/>
  </r>
  <r>
    <x v="43"/>
    <s v="Lmt Account"/>
    <s v="Salvo Grima Kampala"/>
    <n v="1"/>
    <n v="1"/>
    <n v="1"/>
    <n v="1"/>
    <n v="1"/>
    <x v="2"/>
  </r>
  <r>
    <x v="44"/>
    <s v="Lmt Account"/>
    <s v="Davakam Collections Ltd Kampala"/>
    <n v="1"/>
    <n v="1"/>
    <n v="1"/>
    <n v="1"/>
    <n v="1"/>
    <x v="2"/>
  </r>
  <r>
    <x v="45"/>
    <s v="Lmt Account"/>
    <s v="Zeripen Investments Limited"/>
    <n v="1"/>
    <n v="1"/>
    <n v="1"/>
    <n v="1"/>
    <n v="1"/>
    <x v="2"/>
  </r>
  <r>
    <x v="46"/>
    <s v="Lmt Account"/>
    <s v="Zeripen Investments Limited"/>
    <n v="1"/>
    <n v="1"/>
    <n v="1"/>
    <n v="1"/>
    <n v="1"/>
    <x v="2"/>
  </r>
  <r>
    <x v="47"/>
    <s v="Lmt Account"/>
    <s v="Zeripen Investments Limited"/>
    <n v="1"/>
    <n v="1"/>
    <n v="1"/>
    <n v="1"/>
    <n v="1"/>
    <x v="2"/>
  </r>
  <r>
    <x v="48"/>
    <s v="Ecomart Account"/>
    <s v="Dhl"/>
    <n v="1"/>
    <n v="1"/>
    <n v="1"/>
    <n v="1"/>
    <n v="1"/>
    <x v="2"/>
  </r>
  <r>
    <x v="49"/>
    <s v="Ecomart Account"/>
    <s v="Dhl"/>
    <n v="1"/>
    <n v="1"/>
    <n v="1"/>
    <n v="1"/>
    <n v="1"/>
    <x v="2"/>
  </r>
  <r>
    <x v="50"/>
    <s v="Ecomart Account"/>
    <s v="Dhl"/>
    <n v="1"/>
    <n v="1"/>
    <n v="1"/>
    <n v="1"/>
    <n v="1"/>
    <x v="2"/>
  </r>
  <r>
    <x v="51"/>
    <s v="Ecomart Account"/>
    <s v="Dhl"/>
    <n v="1"/>
    <n v="1"/>
    <n v="1"/>
    <n v="1"/>
    <n v="1"/>
    <x v="2"/>
  </r>
  <r>
    <x v="52"/>
    <s v="Lmt Account"/>
    <s v="Zeripen Investments Limited"/>
    <n v="1"/>
    <n v="1"/>
    <n v="1"/>
    <n v="1"/>
    <n v="1"/>
    <x v="2"/>
  </r>
  <r>
    <x v="53"/>
    <s v="Lmt Account"/>
    <s v="Davakam Collections Ltd Kampala"/>
    <n v="1"/>
    <n v="1"/>
    <n v="1"/>
    <n v="1"/>
    <n v="1"/>
    <x v="2"/>
  </r>
  <r>
    <x v="54"/>
    <s v="Lmt Account"/>
    <s v="Jadma"/>
    <n v="1"/>
    <n v="1"/>
    <n v="1"/>
    <n v="1"/>
    <n v="1"/>
    <x v="2"/>
  </r>
  <r>
    <x v="55"/>
    <s v="Lmt Account"/>
    <s v="Jadma"/>
    <n v="1"/>
    <n v="1"/>
    <n v="1"/>
    <n v="1"/>
    <n v="1"/>
    <x v="2"/>
  </r>
  <r>
    <x v="56"/>
    <s v="Lmt Account"/>
    <s v="Salvo Grima Kampala"/>
    <n v="1"/>
    <n v="1"/>
    <n v="1"/>
    <n v="1"/>
    <n v="1"/>
    <x v="2"/>
  </r>
  <r>
    <x v="57"/>
    <s v="Fraine Account"/>
    <s v="Dhl"/>
    <n v="1"/>
    <n v="1"/>
    <n v="1"/>
    <n v="1"/>
    <n v="1"/>
    <x v="2"/>
  </r>
  <r>
    <x v="58"/>
    <s v="Fraine Account"/>
    <s v="Dhl"/>
    <n v="1"/>
    <n v="1"/>
    <n v="1"/>
    <n v="1"/>
    <n v="1"/>
    <x v="2"/>
  </r>
  <r>
    <x v="59"/>
    <s v="Fraine Account"/>
    <s v="Dhl"/>
    <n v="1"/>
    <n v="1"/>
    <n v="1"/>
    <n v="1"/>
    <n v="1"/>
    <x v="2"/>
  </r>
  <r>
    <x v="60"/>
    <s v="Fraine Account"/>
    <s v="Dhl"/>
    <n v="1"/>
    <n v="1"/>
    <n v="1"/>
    <n v="1"/>
    <n v="1"/>
    <x v="2"/>
  </r>
  <r>
    <x v="61"/>
    <s v="Fraine Account"/>
    <s v="Dhl"/>
    <n v="1"/>
    <n v="1"/>
    <n v="1"/>
    <n v="1"/>
    <n v="1"/>
    <x v="2"/>
  </r>
  <r>
    <x v="64"/>
    <s v="Lmt Account"/>
    <s v="Falkan Investments Ltd Mbarara"/>
    <n v="1"/>
    <n v="1"/>
    <n v="1"/>
    <n v="1"/>
    <n v="1"/>
    <x v="2"/>
  </r>
  <r>
    <x v="65"/>
    <s v="Lmt Account"/>
    <s v="Rabriel Investments Hoima"/>
    <n v="1"/>
    <n v="1"/>
    <n v="1"/>
    <n v="1"/>
    <n v="1"/>
    <x v="2"/>
  </r>
  <r>
    <x v="66"/>
    <s v="Lmt Account"/>
    <s v="Namwagale Business Enterprises"/>
    <n v="1"/>
    <n v="1"/>
    <n v="1"/>
    <n v="1"/>
    <n v="1"/>
    <x v="2"/>
  </r>
  <r>
    <x v="67"/>
    <s v="Lmt Account"/>
    <s v="Gt Trading Limited"/>
    <n v="1"/>
    <n v="1"/>
    <n v="1"/>
    <n v="1"/>
    <n v="1"/>
    <x v="2"/>
  </r>
  <r>
    <x v="68"/>
    <s v="Lmt Account"/>
    <s v="Salvo Grima Kampala"/>
    <n v="1"/>
    <n v="1"/>
    <n v="1"/>
    <n v="1"/>
    <n v="1"/>
    <x v="2"/>
  </r>
  <r>
    <x v="69"/>
    <s v="Lmt Account"/>
    <s v="Qima Ventures Enterprises"/>
    <n v="1"/>
    <n v="1"/>
    <n v="1"/>
    <n v="1"/>
    <n v="1"/>
    <x v="2"/>
  </r>
  <r>
    <x v="70"/>
    <s v="Lmt Account"/>
    <s v="Falkan Investments Ltd Mbarara"/>
    <n v="1"/>
    <n v="1"/>
    <n v="1"/>
    <n v="1"/>
    <n v="1"/>
    <x v="2"/>
  </r>
  <r>
    <x v="71"/>
    <s v="Lmt Account"/>
    <s v="Davakam Collections Ltd Kampala"/>
    <n v="0"/>
    <n v="0.33333333333333331"/>
    <n v="0"/>
    <n v="0"/>
    <n v="8.3333333333333329E-2"/>
    <x v="2"/>
  </r>
  <r>
    <x v="72"/>
    <s v="Lmt Account"/>
    <s v="Zeripen Investments Limited"/>
    <n v="1"/>
    <n v="1"/>
    <n v="1"/>
    <n v="1"/>
    <n v="1"/>
    <x v="2"/>
  </r>
  <r>
    <x v="74"/>
    <s v="Lmt Account"/>
    <s v="Salvo Grima Kampala"/>
    <n v="1"/>
    <n v="1"/>
    <n v="1"/>
    <n v="1"/>
    <n v="1"/>
    <x v="2"/>
  </r>
  <r>
    <x v="75"/>
    <s v="Lmt Account"/>
    <s v="Davakam Collections Ltd Mubende"/>
    <n v="1"/>
    <n v="1"/>
    <n v="1"/>
    <n v="1"/>
    <n v="1"/>
    <x v="2"/>
  </r>
  <r>
    <x v="76"/>
    <s v="Lmt Account"/>
    <s v="Salvo Grima Kampala"/>
    <n v="1"/>
    <n v="1"/>
    <n v="1"/>
    <n v="1"/>
    <n v="1"/>
    <x v="2"/>
  </r>
  <r>
    <x v="77"/>
    <s v="Lmt Account"/>
    <s v="Salvo Grima Kampala"/>
    <n v="1"/>
    <n v="1"/>
    <n v="1"/>
    <n v="0.5"/>
    <n v="0.875"/>
    <x v="2"/>
  </r>
  <r>
    <x v="79"/>
    <s v="Lmt Account"/>
    <s v="Zeripen Investments Limited"/>
    <n v="1"/>
    <n v="1"/>
    <n v="1"/>
    <n v="1"/>
    <n v="1"/>
    <x v="2"/>
  </r>
  <r>
    <x v="81"/>
    <s v="Lmt Account"/>
    <s v="Davakam Collections Ltd Kampala"/>
    <n v="1"/>
    <n v="1"/>
    <n v="1"/>
    <n v="1"/>
    <n v="1"/>
    <x v="2"/>
  </r>
  <r>
    <x v="82"/>
    <s v="Lmt Account"/>
    <s v="Namwagale Business Enterprises"/>
    <n v="1"/>
    <n v="1"/>
    <n v="1"/>
    <n v="1"/>
    <n v="1"/>
    <x v="2"/>
  </r>
  <r>
    <x v="83"/>
    <s v="Lmt Account"/>
    <s v="Falkan Investments Ltd Mbarara"/>
    <n v="1"/>
    <n v="1"/>
    <n v="1"/>
    <n v="1"/>
    <n v="1"/>
    <x v="2"/>
  </r>
  <r>
    <x v="84"/>
    <s v="Lmt Account"/>
    <s v="Rabriel Investments Lira"/>
    <n v="1"/>
    <n v="1"/>
    <n v="1"/>
    <n v="1"/>
    <n v="1"/>
    <x v="2"/>
  </r>
  <r>
    <x v="85"/>
    <s v="Lmt Account"/>
    <s v="Salvo Grima Kampala"/>
    <n v="1"/>
    <n v="1"/>
    <n v="1"/>
    <n v="1"/>
    <n v="1"/>
    <x v="2"/>
  </r>
  <r>
    <x v="86"/>
    <s v="Lmt Account"/>
    <s v="Davakam Collections Ltd Kampala"/>
    <n v="1"/>
    <n v="1"/>
    <n v="1"/>
    <n v="1"/>
    <n v="1"/>
    <x v="2"/>
  </r>
  <r>
    <x v="87"/>
    <s v="Lmt Account"/>
    <s v="Zeripen Investments Limited"/>
    <n v="1"/>
    <n v="1"/>
    <n v="1"/>
    <n v="1"/>
    <n v="1"/>
    <x v="2"/>
  </r>
  <r>
    <x v="88"/>
    <s v="Lmt Account"/>
    <s v="Salvo Grima Masaka"/>
    <n v="1"/>
    <n v="1"/>
    <n v="1"/>
    <n v="1"/>
    <n v="1"/>
    <x v="2"/>
  </r>
  <r>
    <x v="89"/>
    <s v="Lmt Account"/>
    <s v="Rabriel Investments Lira"/>
    <n v="1"/>
    <n v="1"/>
    <n v="1"/>
    <n v="1"/>
    <n v="1"/>
    <x v="2"/>
  </r>
  <r>
    <x v="90"/>
    <s v="Lmt Account"/>
    <s v="Rabriel Investments Lira"/>
    <n v="1"/>
    <n v="1"/>
    <n v="1"/>
    <n v="1"/>
    <n v="1"/>
    <x v="2"/>
  </r>
  <r>
    <x v="91"/>
    <s v="Lmt Account"/>
    <s v="Rabriel Investments Lira"/>
    <n v="1"/>
    <n v="1"/>
    <n v="1"/>
    <n v="1"/>
    <n v="1"/>
    <x v="2"/>
  </r>
  <r>
    <x v="92"/>
    <s v="Lmt Account"/>
    <s v="Zeripen Investments Limited"/>
    <n v="1"/>
    <n v="1"/>
    <n v="1"/>
    <n v="1"/>
    <n v="1"/>
    <x v="2"/>
  </r>
  <r>
    <x v="93"/>
    <s v="Lmt Account"/>
    <s v="Salvo Grima Masaka"/>
    <n v="1"/>
    <n v="1"/>
    <n v="1"/>
    <n v="1"/>
    <n v="1"/>
    <x v="2"/>
  </r>
  <r>
    <x v="94"/>
    <s v="Lmt Account"/>
    <s v="Davakam Collections Ltd Kampala"/>
    <n v="1"/>
    <n v="1"/>
    <n v="1"/>
    <n v="1"/>
    <n v="1"/>
    <x v="2"/>
  </r>
  <r>
    <x v="95"/>
    <s v="Lmt Account"/>
    <s v="Mofunds Ltd"/>
    <n v="1"/>
    <n v="1"/>
    <n v="1"/>
    <n v="1"/>
    <n v="1"/>
    <x v="2"/>
  </r>
  <r>
    <x v="96"/>
    <s v="Lmt Account"/>
    <s v="Salvo Grima Kampala"/>
    <n v="1"/>
    <n v="1"/>
    <n v="1"/>
    <n v="1"/>
    <n v="1"/>
    <x v="2"/>
  </r>
  <r>
    <x v="98"/>
    <s v="Standard Account"/>
    <s v="Dhl"/>
    <n v="1"/>
    <n v="1"/>
    <n v="1"/>
    <n v="1"/>
    <n v="1"/>
    <x v="2"/>
  </r>
  <r>
    <x v="99"/>
    <s v="Lmt Account"/>
    <s v="Mofunds Ltd"/>
    <n v="0.66666666666666663"/>
    <n v="1"/>
    <n v="1"/>
    <n v="1"/>
    <n v="0.91666666666666663"/>
    <x v="2"/>
  </r>
  <r>
    <x v="100"/>
    <s v="Lmt Account"/>
    <s v="Mofunds Ltd"/>
    <n v="1"/>
    <n v="1"/>
    <n v="1"/>
    <n v="1"/>
    <n v="1"/>
    <x v="2"/>
  </r>
  <r>
    <x v="101"/>
    <s v="Lmt Account"/>
    <s v="Davakam Collections Ltd Kampala"/>
    <n v="1"/>
    <n v="1"/>
    <n v="1"/>
    <n v="1"/>
    <n v="1"/>
    <x v="2"/>
  </r>
  <r>
    <x v="102"/>
    <s v="Lmt Account"/>
    <s v="Dredro Distributors"/>
    <n v="0.5"/>
    <n v="0.75"/>
    <n v="0.75"/>
    <n v="0.75"/>
    <n v="0.6875"/>
    <x v="2"/>
  </r>
  <r>
    <x v="103"/>
    <s v="Lmt Account"/>
    <s v="Davakam Collections Ltd Kampala"/>
    <n v="1"/>
    <n v="1"/>
    <n v="1"/>
    <n v="1"/>
    <n v="1"/>
    <x v="2"/>
  </r>
  <r>
    <x v="104"/>
    <s v="Lmt Account"/>
    <s v="Salvo Grima Masaka"/>
    <n v="1"/>
    <n v="1"/>
    <n v="1"/>
    <n v="1"/>
    <n v="1"/>
    <x v="2"/>
  </r>
  <r>
    <x v="105"/>
    <s v="Lmt Account"/>
    <s v="Namwagale Business Enterprises"/>
    <n v="1"/>
    <n v="1"/>
    <n v="1"/>
    <n v="1"/>
    <n v="1"/>
    <x v="2"/>
  </r>
  <r>
    <x v="106"/>
    <s v="Lmt Account"/>
    <s v="Qima Ventures Enterprises"/>
    <n v="1"/>
    <n v="1"/>
    <n v="1"/>
    <n v="1"/>
    <n v="1"/>
    <x v="2"/>
  </r>
  <r>
    <x v="107"/>
    <s v="Lmt Account"/>
    <s v="Dredro Distributors"/>
    <n v="1"/>
    <n v="1"/>
    <n v="1"/>
    <n v="1"/>
    <n v="1"/>
    <x v="2"/>
  </r>
  <r>
    <x v="108"/>
    <s v="Lmt Account"/>
    <s v="Dredro Distributors"/>
    <n v="1"/>
    <n v="1"/>
    <n v="1"/>
    <n v="1"/>
    <n v="1"/>
    <x v="2"/>
  </r>
  <r>
    <x v="109"/>
    <s v="Lmt Account"/>
    <s v="Rabriel Investments Lira"/>
    <n v="1"/>
    <n v="1"/>
    <n v="1"/>
    <n v="1"/>
    <n v="1"/>
    <x v="2"/>
  </r>
  <r>
    <x v="110"/>
    <s v="Lmt Account"/>
    <s v="Gt Trading Limited"/>
    <n v="1"/>
    <n v="1"/>
    <n v="1"/>
    <n v="1"/>
    <n v="1"/>
    <x v="2"/>
  </r>
  <r>
    <x v="111"/>
    <s v="Lmt Account"/>
    <s v="Qima Ventures Enterprises"/>
    <n v="1"/>
    <n v="1"/>
    <n v="1"/>
    <n v="1"/>
    <n v="1"/>
    <x v="2"/>
  </r>
  <r>
    <x v="112"/>
    <s v="Lmt Account"/>
    <s v="Rabriel Investments Lira"/>
    <n v="1"/>
    <n v="1"/>
    <n v="1"/>
    <n v="1"/>
    <n v="1"/>
    <x v="2"/>
  </r>
  <r>
    <x v="113"/>
    <s v="Lmt Account"/>
    <s v="Zeripen Investments Limited"/>
    <n v="1"/>
    <n v="1"/>
    <n v="1"/>
    <n v="1"/>
    <n v="1"/>
    <x v="2"/>
  </r>
  <r>
    <x v="114"/>
    <s v="Lmt Account"/>
    <s v="Zeripen Investments Limited"/>
    <n v="1"/>
    <n v="1"/>
    <n v="1"/>
    <n v="1"/>
    <n v="1"/>
    <x v="2"/>
  </r>
  <r>
    <x v="116"/>
    <s v="Lmt Account"/>
    <s v="Salvo Grima Kampala"/>
    <n v="1"/>
    <n v="1"/>
    <n v="1"/>
    <n v="1"/>
    <n v="1"/>
    <x v="2"/>
  </r>
  <r>
    <x v="117"/>
    <s v="Lmt Account"/>
    <s v="Salvo Grima Masaka"/>
    <n v="1"/>
    <n v="1"/>
    <n v="1"/>
    <n v="1"/>
    <n v="1"/>
    <x v="2"/>
  </r>
  <r>
    <x v="118"/>
    <s v="Lmt Account"/>
    <s v="Mofunds Ltd"/>
    <n v="1"/>
    <n v="1"/>
    <n v="1"/>
    <n v="1"/>
    <n v="1"/>
    <x v="2"/>
  </r>
  <r>
    <x v="119"/>
    <s v="Lmt Account"/>
    <s v="Zeripen Investments Limited"/>
    <n v="1"/>
    <n v="1"/>
    <n v="1"/>
    <n v="1"/>
    <n v="1"/>
    <x v="2"/>
  </r>
  <r>
    <x v="121"/>
    <s v="Lmt Account"/>
    <s v="Qima Ventures Enterprises"/>
    <n v="1"/>
    <n v="1"/>
    <n v="1"/>
    <n v="1"/>
    <n v="1"/>
    <x v="2"/>
  </r>
  <r>
    <x v="122"/>
    <s v="Quality Account"/>
    <s v="Dhl"/>
    <n v="1"/>
    <n v="1"/>
    <n v="1"/>
    <n v="1"/>
    <n v="1"/>
    <x v="2"/>
  </r>
  <r>
    <x v="123"/>
    <s v="Quality Account"/>
    <s v="Dhl"/>
    <n v="1"/>
    <n v="1"/>
    <n v="1"/>
    <n v="1"/>
    <n v="1"/>
    <x v="2"/>
  </r>
  <r>
    <x v="124"/>
    <s v="Quality Account"/>
    <s v="Dhl"/>
    <n v="1"/>
    <n v="1"/>
    <n v="1"/>
    <n v="1"/>
    <n v="1"/>
    <x v="2"/>
  </r>
  <r>
    <x v="125"/>
    <s v="Quality Account"/>
    <s v="Dhl"/>
    <n v="1"/>
    <n v="1"/>
    <n v="1"/>
    <n v="1"/>
    <n v="1"/>
    <x v="2"/>
  </r>
  <r>
    <x v="127"/>
    <s v="Lmt Account"/>
    <s v="Salvo Grima Kampala"/>
    <n v="1"/>
    <n v="1"/>
    <n v="1"/>
    <n v="1"/>
    <n v="1"/>
    <x v="2"/>
  </r>
  <r>
    <x v="128"/>
    <s v="Lmt Account"/>
    <s v="Falkan Investments Ltd Mbarara"/>
    <n v="1"/>
    <n v="1"/>
    <n v="1"/>
    <n v="1"/>
    <n v="1"/>
    <x v="2"/>
  </r>
  <r>
    <x v="129"/>
    <s v="Lmt Account"/>
    <s v="Qima Ventures Enterprises"/>
    <n v="1"/>
    <n v="1"/>
    <n v="1"/>
    <n v="1"/>
    <n v="1"/>
    <x v="2"/>
  </r>
  <r>
    <x v="130"/>
    <s v="Lmt Account"/>
    <s v="Gt Trading Limited"/>
    <n v="1"/>
    <n v="1"/>
    <n v="1"/>
    <n v="1"/>
    <n v="1"/>
    <x v="2"/>
  </r>
  <r>
    <x v="131"/>
    <s v="Lmt Account"/>
    <s v="Davakam Collections Ltd Mubende"/>
    <n v="1"/>
    <n v="1"/>
    <n v="1"/>
    <n v="1"/>
    <n v="1"/>
    <x v="2"/>
  </r>
  <r>
    <x v="132"/>
    <s v="Lmt Account"/>
    <s v="Salvo Grima Kampala"/>
    <n v="1"/>
    <n v="1"/>
    <n v="1"/>
    <n v="1"/>
    <n v="1"/>
    <x v="2"/>
  </r>
  <r>
    <x v="133"/>
    <s v="Lmt Account"/>
    <s v="Salvo Grima Kampala"/>
    <n v="1"/>
    <n v="1"/>
    <n v="1"/>
    <n v="1"/>
    <n v="1"/>
    <x v="2"/>
  </r>
  <r>
    <x v="134"/>
    <s v="Lmt Account"/>
    <s v="Zeripen Investments Limited"/>
    <n v="1"/>
    <n v="1"/>
    <n v="1"/>
    <n v="1"/>
    <n v="1"/>
    <x v="2"/>
  </r>
  <r>
    <x v="135"/>
    <s v="Lmt Account"/>
    <s v="Davakam Collections Ltd Kampala"/>
    <n v="1"/>
    <n v="1"/>
    <n v="1"/>
    <n v="1"/>
    <n v="1"/>
    <x v="2"/>
  </r>
  <r>
    <x v="136"/>
    <s v="Lmt Account"/>
    <s v="Qima Ventures Enterprises"/>
    <n v="1"/>
    <n v="1"/>
    <n v="1"/>
    <n v="1"/>
    <n v="1"/>
    <x v="2"/>
  </r>
  <r>
    <x v="137"/>
    <s v="Lmt Account"/>
    <s v="Salvo Grima Fortportal"/>
    <n v="1"/>
    <n v="1"/>
    <n v="1"/>
    <n v="1"/>
    <n v="1"/>
    <x v="2"/>
  </r>
  <r>
    <x v="138"/>
    <s v="Lmt Account"/>
    <s v="Namwagale Business Enterprises"/>
    <n v="1"/>
    <n v="1"/>
    <n v="1"/>
    <n v="1"/>
    <n v="1"/>
    <x v="2"/>
  </r>
  <r>
    <x v="139"/>
    <s v="Lmt Account"/>
    <s v="Salvo Grima Fortportal"/>
    <n v="1"/>
    <n v="1"/>
    <n v="1"/>
    <n v="1"/>
    <n v="1"/>
    <x v="2"/>
  </r>
  <r>
    <x v="140"/>
    <s v="Lmt Account"/>
    <s v="Davakam Collections Ltd Kampala"/>
    <n v="1"/>
    <n v="1"/>
    <n v="1"/>
    <n v="1"/>
    <n v="1"/>
    <x v="2"/>
  </r>
  <r>
    <x v="141"/>
    <s v="Lmt Account"/>
    <s v="Salvo Grima Kampala"/>
    <n v="1"/>
    <n v="1"/>
    <n v="1"/>
    <n v="1"/>
    <n v="1"/>
    <x v="2"/>
  </r>
  <r>
    <x v="142"/>
    <s v="Lmt Account"/>
    <s v="Rabriel Investments Gulu"/>
    <n v="1"/>
    <n v="1"/>
    <n v="1"/>
    <n v="1"/>
    <n v="1"/>
    <x v="2"/>
  </r>
  <r>
    <x v="143"/>
    <s v="Lmt Account"/>
    <s v="Davakam Collections Ltd Kampala"/>
    <n v="1"/>
    <n v="1"/>
    <n v="1"/>
    <n v="1"/>
    <n v="1"/>
    <x v="2"/>
  </r>
  <r>
    <x v="144"/>
    <s v="Lmt Account"/>
    <s v="Salvo Grima Kampala"/>
    <n v="1"/>
    <n v="1"/>
    <n v="1"/>
    <n v="1"/>
    <n v="1"/>
    <x v="2"/>
  </r>
  <r>
    <x v="145"/>
    <s v="Lmt Account"/>
    <s v="Davakam Collections Ltd Kampala"/>
    <n v="1"/>
    <n v="1"/>
    <n v="1"/>
    <n v="1"/>
    <n v="1"/>
    <x v="2"/>
  </r>
  <r>
    <x v="146"/>
    <s v="Lmt Account"/>
    <s v="Mofunds Ltd"/>
    <n v="1"/>
    <n v="1"/>
    <n v="1"/>
    <n v="1"/>
    <n v="1"/>
    <x v="2"/>
  </r>
  <r>
    <x v="147"/>
    <s v="Standard Account"/>
    <s v="Dhl"/>
    <n v="0.8"/>
    <n v="0.8"/>
    <n v="0.8"/>
    <n v="0.8"/>
    <n v="0.8"/>
    <x v="2"/>
  </r>
  <r>
    <x v="148"/>
    <s v="Standard Account"/>
    <s v="Dhl"/>
    <n v="1"/>
    <n v="1"/>
    <n v="1"/>
    <n v="1"/>
    <n v="1"/>
    <x v="2"/>
  </r>
  <r>
    <x v="149"/>
    <s v="Standard Account"/>
    <s v="Dhl"/>
    <n v="1"/>
    <n v="1"/>
    <n v="1"/>
    <n v="1"/>
    <n v="1"/>
    <x v="2"/>
  </r>
  <r>
    <x v="150"/>
    <s v="Lmt Account"/>
    <s v="Rabriel Investments Hoima"/>
    <n v="1"/>
    <n v="1"/>
    <n v="1"/>
    <n v="1"/>
    <n v="1"/>
    <x v="2"/>
  </r>
  <r>
    <x v="151"/>
    <s v="Lmt Account"/>
    <s v="Mofunds Ltd"/>
    <n v="1"/>
    <n v="1"/>
    <n v="1"/>
    <n v="1"/>
    <n v="1"/>
    <x v="2"/>
  </r>
  <r>
    <x v="152"/>
    <s v="Lmt Account"/>
    <s v="Namwagale Business Enterprises"/>
    <n v="1"/>
    <n v="1"/>
    <n v="1"/>
    <n v="1"/>
    <n v="1"/>
    <x v="2"/>
  </r>
  <r>
    <x v="153"/>
    <s v="Lmt Account"/>
    <s v="Salvo Grima Kampala"/>
    <n v="1"/>
    <n v="1"/>
    <n v="1"/>
    <n v="1"/>
    <n v="1"/>
    <x v="2"/>
  </r>
  <r>
    <x v="154"/>
    <s v="Lmt Account"/>
    <s v="Dredro Distributors"/>
    <n v="1"/>
    <n v="1"/>
    <n v="1"/>
    <n v="1"/>
    <n v="1"/>
    <x v="2"/>
  </r>
  <r>
    <x v="155"/>
    <s v="Lmt Account"/>
    <s v="Dredro Distributors"/>
    <n v="1"/>
    <n v="1"/>
    <n v="1"/>
    <n v="1"/>
    <n v="1"/>
    <x v="2"/>
  </r>
  <r>
    <x v="156"/>
    <s v="Lmt Account"/>
    <s v="Salvo Grima Kampala"/>
    <n v="1"/>
    <n v="1"/>
    <n v="1"/>
    <n v="1"/>
    <n v="1"/>
    <x v="2"/>
  </r>
  <r>
    <x v="157"/>
    <s v="Lmt Account"/>
    <s v="Zeripen Investments Limited"/>
    <n v="1"/>
    <n v="1"/>
    <n v="1"/>
    <n v="1"/>
    <n v="1"/>
    <x v="2"/>
  </r>
  <r>
    <x v="158"/>
    <s v="Lmt Account"/>
    <s v="Zeripen Investments Limited"/>
    <n v="1"/>
    <n v="1"/>
    <n v="1"/>
    <n v="1"/>
    <n v="1"/>
    <x v="2"/>
  </r>
  <r>
    <x v="159"/>
    <s v="Lmt Account"/>
    <s v="Dredro Distributors"/>
    <n v="1"/>
    <n v="1"/>
    <n v="1"/>
    <n v="1"/>
    <n v="1"/>
    <x v="2"/>
  </r>
  <r>
    <x v="160"/>
    <s v="Lmt Account"/>
    <s v="Dredro Distributors"/>
    <n v="1"/>
    <n v="1"/>
    <n v="1"/>
    <n v="1"/>
    <n v="1"/>
    <x v="2"/>
  </r>
  <r>
    <x v="161"/>
    <s v="Lmt Account"/>
    <s v="Davakam Collections Ltd Kampala"/>
    <n v="1"/>
    <n v="1"/>
    <n v="1"/>
    <n v="1"/>
    <n v="1"/>
    <x v="2"/>
  </r>
  <r>
    <x v="0"/>
    <s v="Lmt Account"/>
    <s v="Dredro Distributors"/>
    <n v="1"/>
    <n v="1"/>
    <n v="1"/>
    <n v="1"/>
    <n v="1"/>
    <x v="3"/>
  </r>
  <r>
    <x v="1"/>
    <s v="Lmt Account"/>
    <s v="Qima Ventures Enterprises"/>
    <n v="1"/>
    <n v="1"/>
    <n v="1"/>
    <n v="1"/>
    <n v="1"/>
    <x v="3"/>
  </r>
  <r>
    <x v="2"/>
    <s v="Lmt Account"/>
    <s v="Dredro Distributors"/>
    <n v="1"/>
    <n v="1"/>
    <n v="1"/>
    <n v="1"/>
    <n v="1"/>
    <x v="3"/>
  </r>
  <r>
    <x v="3"/>
    <s v="Lmt Account"/>
    <s v="Gt Trading Limited"/>
    <n v="1"/>
    <n v="1"/>
    <n v="1"/>
    <n v="1"/>
    <n v="1"/>
    <x v="3"/>
  </r>
  <r>
    <x v="4"/>
    <s v="Lmt Account"/>
    <s v="Falkan Investments Ltd Mbarara"/>
    <n v="1"/>
    <n v="1"/>
    <n v="1"/>
    <n v="1"/>
    <n v="1"/>
    <x v="3"/>
  </r>
  <r>
    <x v="5"/>
    <s v="Lmt Account"/>
    <s v="Qima Ventures Enterprises"/>
    <n v="0"/>
    <n v="1"/>
    <n v="1"/>
    <n v="1"/>
    <n v="0.75"/>
    <x v="3"/>
  </r>
  <r>
    <x v="6"/>
    <s v="Lmt Account"/>
    <s v="Salvo Grima Fortportal"/>
    <n v="1"/>
    <n v="1"/>
    <n v="1"/>
    <n v="0"/>
    <n v="0.75"/>
    <x v="3"/>
  </r>
  <r>
    <x v="7"/>
    <s v="Lmt Account"/>
    <s v="Zeripen Investments Limited"/>
    <n v="1"/>
    <n v="1"/>
    <n v="0"/>
    <n v="1"/>
    <n v="0.75"/>
    <x v="3"/>
  </r>
  <r>
    <x v="8"/>
    <s v="Lmt Account"/>
    <s v="Qima Ventures Enterprises"/>
    <n v="1"/>
    <n v="1"/>
    <n v="1"/>
    <n v="1"/>
    <n v="1"/>
    <x v="3"/>
  </r>
  <r>
    <x v="9"/>
    <s v="Lmt Account"/>
    <s v="Salvo Grima Kampala"/>
    <n v="1"/>
    <n v="1"/>
    <n v="1"/>
    <n v="1"/>
    <n v="1"/>
    <x v="3"/>
  </r>
  <r>
    <x v="10"/>
    <s v="Lmt Account"/>
    <s v="Salvo Grima Kampala"/>
    <n v="1"/>
    <n v="1"/>
    <n v="1"/>
    <n v="1"/>
    <n v="1"/>
    <x v="3"/>
  </r>
  <r>
    <x v="11"/>
    <s v="Capital Account"/>
    <s v="Dhl"/>
    <n v="0"/>
    <n v="1"/>
    <n v="1"/>
    <n v="1"/>
    <n v="0.75"/>
    <x v="3"/>
  </r>
  <r>
    <x v="12"/>
    <s v="Capital Account"/>
    <s v="Dhl"/>
    <n v="1"/>
    <n v="0"/>
    <n v="0"/>
    <n v="1"/>
    <n v="0.5"/>
    <x v="3"/>
  </r>
  <r>
    <x v="13"/>
    <s v="Capital Account"/>
    <s v="Dhl"/>
    <n v="1"/>
    <n v="1"/>
    <n v="1"/>
    <n v="1"/>
    <n v="1"/>
    <x v="3"/>
  </r>
  <r>
    <x v="14"/>
    <s v="Capital Account"/>
    <s v="Dhl"/>
    <n v="0"/>
    <n v="1"/>
    <n v="1"/>
    <n v="1"/>
    <n v="0.75"/>
    <x v="3"/>
  </r>
  <r>
    <x v="15"/>
    <s v="Carrefour Account"/>
    <s v="Dhl"/>
    <n v="1"/>
    <n v="1"/>
    <n v="1"/>
    <n v="1"/>
    <n v="1"/>
    <x v="3"/>
  </r>
  <r>
    <x v="16"/>
    <s v="Carrefour Account"/>
    <s v="Dhl"/>
    <n v="0"/>
    <n v="1"/>
    <n v="1"/>
    <n v="1"/>
    <n v="0.75"/>
    <x v="3"/>
  </r>
  <r>
    <x v="17"/>
    <s v="Carrefour Account"/>
    <s v="Dhl"/>
    <n v="1"/>
    <n v="1"/>
    <n v="1"/>
    <n v="1"/>
    <n v="1"/>
    <x v="3"/>
  </r>
  <r>
    <x v="18"/>
    <s v="Carrefour Account"/>
    <s v="Dhl"/>
    <n v="0"/>
    <n v="1"/>
    <n v="1"/>
    <n v="1"/>
    <n v="0.75"/>
    <x v="3"/>
  </r>
  <r>
    <x v="19"/>
    <s v="Carrefour Account"/>
    <s v="Dhl"/>
    <n v="1"/>
    <n v="0"/>
    <n v="1"/>
    <n v="1"/>
    <n v="0.75"/>
    <x v="3"/>
  </r>
  <r>
    <x v="20"/>
    <s v="Carrefour Account"/>
    <s v="Dhl"/>
    <n v="0"/>
    <n v="0"/>
    <n v="0"/>
    <n v="0"/>
    <n v="0"/>
    <x v="3"/>
  </r>
  <r>
    <x v="21"/>
    <s v="Carrefour Account"/>
    <s v="Dhl"/>
    <n v="1"/>
    <n v="1"/>
    <n v="1"/>
    <n v="1"/>
    <n v="1"/>
    <x v="3"/>
  </r>
  <r>
    <x v="22"/>
    <s v="Lmt Account"/>
    <s v="Davakam Collections Ltd Kampala"/>
    <n v="1"/>
    <n v="1"/>
    <n v="1"/>
    <n v="1"/>
    <n v="1"/>
    <x v="3"/>
  </r>
  <r>
    <x v="23"/>
    <s v="Lmt Account"/>
    <s v="Davakam Collections Ltd Kampala"/>
    <n v="1"/>
    <n v="1"/>
    <n v="1"/>
    <n v="1"/>
    <n v="1"/>
    <x v="3"/>
  </r>
  <r>
    <x v="24"/>
    <s v="Lmt Account"/>
    <s v="Zeripen Investments Limited"/>
    <n v="1"/>
    <n v="1"/>
    <n v="1"/>
    <n v="1"/>
    <n v="1"/>
    <x v="3"/>
  </r>
  <r>
    <x v="25"/>
    <s v="Lmt Account"/>
    <s v="Salvo Grima Kampala"/>
    <n v="1"/>
    <n v="0"/>
    <n v="1"/>
    <n v="0"/>
    <n v="0.5"/>
    <x v="3"/>
  </r>
  <r>
    <x v="27"/>
    <s v="Lmt Account"/>
    <s v="Salvo Grima Kampala"/>
    <n v="1"/>
    <n v="1"/>
    <n v="1"/>
    <n v="1"/>
    <n v="1"/>
    <x v="3"/>
  </r>
  <r>
    <x v="28"/>
    <s v="Lmt Account"/>
    <s v="Salvo Grima Kampala"/>
    <n v="1"/>
    <n v="1"/>
    <n v="1"/>
    <n v="1"/>
    <n v="1"/>
    <x v="3"/>
  </r>
  <r>
    <x v="29"/>
    <s v="Lmt Account"/>
    <s v="Salvo Grima Kampala"/>
    <n v="1"/>
    <n v="0"/>
    <n v="0"/>
    <n v="1"/>
    <n v="0.5"/>
    <x v="3"/>
  </r>
  <r>
    <x v="30"/>
    <s v="Lmt Account"/>
    <s v="Salvo Grima Kampala"/>
    <n v="1"/>
    <n v="1"/>
    <n v="1"/>
    <n v="1"/>
    <n v="1"/>
    <x v="3"/>
  </r>
  <r>
    <x v="31"/>
    <s v="Lmt Account"/>
    <s v="Mofunds Ltd"/>
    <n v="1"/>
    <n v="1"/>
    <n v="1"/>
    <n v="1"/>
    <n v="1"/>
    <x v="3"/>
  </r>
  <r>
    <x v="162"/>
    <s v="Lmt Account"/>
    <s v="Jadma"/>
    <n v="1"/>
    <n v="1"/>
    <n v="1"/>
    <n v="1"/>
    <n v="1"/>
    <x v="3"/>
  </r>
  <r>
    <x v="34"/>
    <s v="Lmt Account"/>
    <s v="Dredro Distributors"/>
    <n v="1"/>
    <n v="1"/>
    <n v="1"/>
    <n v="1"/>
    <n v="1"/>
    <x v="3"/>
  </r>
  <r>
    <x v="36"/>
    <s v="Lmt Account"/>
    <s v="Salvo Grima Kampala"/>
    <n v="1"/>
    <n v="1"/>
    <n v="1"/>
    <n v="0"/>
    <n v="0.75"/>
    <x v="3"/>
  </r>
  <r>
    <x v="37"/>
    <s v="Lmt Account"/>
    <s v="Zeripen Investments Limited"/>
    <n v="1"/>
    <n v="0"/>
    <n v="1"/>
    <n v="1"/>
    <n v="0.75"/>
    <x v="3"/>
  </r>
  <r>
    <x v="38"/>
    <s v="Lmt Account"/>
    <s v="Zeripen Investments Limited"/>
    <n v="0"/>
    <n v="1"/>
    <n v="1"/>
    <n v="1"/>
    <n v="0.75"/>
    <x v="3"/>
  </r>
  <r>
    <x v="39"/>
    <s v="Lmt Account"/>
    <s v="Salvo Grima Kampala"/>
    <n v="1"/>
    <n v="1"/>
    <n v="0"/>
    <n v="1"/>
    <n v="0.75"/>
    <x v="3"/>
  </r>
  <r>
    <x v="40"/>
    <s v="Lmt Account"/>
    <s v="Rabriel Investments Gulu"/>
    <n v="1"/>
    <n v="1"/>
    <n v="1"/>
    <n v="1"/>
    <n v="1"/>
    <x v="3"/>
  </r>
  <r>
    <x v="41"/>
    <s v="Lmt Account"/>
    <s v="Davakam Collections Ltd Mubende"/>
    <n v="1"/>
    <n v="1"/>
    <n v="1"/>
    <n v="1"/>
    <n v="1"/>
    <x v="3"/>
  </r>
  <r>
    <x v="42"/>
    <s v="Lmt Account"/>
    <s v="Falkan Investments Ltd Mbarara"/>
    <n v="1"/>
    <n v="1"/>
    <n v="1"/>
    <n v="1"/>
    <n v="1"/>
    <x v="3"/>
  </r>
  <r>
    <x v="43"/>
    <s v="Lmt Account"/>
    <s v="Salvo Grima Kampala"/>
    <n v="0"/>
    <n v="0"/>
    <n v="1"/>
    <n v="1"/>
    <n v="0.5"/>
    <x v="3"/>
  </r>
  <r>
    <x v="44"/>
    <s v="Lmt Account"/>
    <s v="Davakam Collections Ltd Kampala"/>
    <n v="1"/>
    <n v="1"/>
    <n v="0"/>
    <n v="1"/>
    <n v="0.75"/>
    <x v="3"/>
  </r>
  <r>
    <x v="45"/>
    <s v="Lmt Account"/>
    <s v="Zeripen Investments Limited"/>
    <n v="1"/>
    <n v="0"/>
    <n v="1"/>
    <n v="1"/>
    <n v="0.75"/>
    <x v="3"/>
  </r>
  <r>
    <x v="46"/>
    <s v="Lmt Account"/>
    <s v="Zeripen Investments Limited"/>
    <n v="1"/>
    <n v="1"/>
    <n v="1"/>
    <n v="1"/>
    <n v="1"/>
    <x v="3"/>
  </r>
  <r>
    <x v="47"/>
    <s v="Lmt Account"/>
    <s v="Zeripen Investments Limited"/>
    <n v="1"/>
    <n v="1"/>
    <n v="1"/>
    <n v="1"/>
    <n v="1"/>
    <x v="3"/>
  </r>
  <r>
    <x v="48"/>
    <s v="Ecomart Account"/>
    <s v="Dhl"/>
    <n v="1"/>
    <n v="1"/>
    <n v="1"/>
    <n v="1"/>
    <n v="1"/>
    <x v="3"/>
  </r>
  <r>
    <x v="49"/>
    <s v="Ecomart Account"/>
    <s v="Dhl"/>
    <n v="0"/>
    <n v="0"/>
    <n v="1"/>
    <n v="1"/>
    <n v="0.5"/>
    <x v="3"/>
  </r>
  <r>
    <x v="50"/>
    <s v="Ecomart Account"/>
    <s v="Dhl"/>
    <n v="0"/>
    <n v="0"/>
    <n v="1"/>
    <n v="1"/>
    <n v="0.5"/>
    <x v="3"/>
  </r>
  <r>
    <x v="51"/>
    <s v="Ecomart Account"/>
    <s v="Dhl"/>
    <n v="1"/>
    <n v="1"/>
    <n v="1"/>
    <n v="1"/>
    <n v="1"/>
    <x v="3"/>
  </r>
  <r>
    <x v="52"/>
    <s v="Lmt Account"/>
    <s v="Zeripen Investments Limited"/>
    <n v="0"/>
    <n v="1"/>
    <n v="1"/>
    <n v="1"/>
    <n v="0.75"/>
    <x v="3"/>
  </r>
  <r>
    <x v="53"/>
    <s v="Lmt Account"/>
    <s v="Davakam Collections Ltd Kampala"/>
    <n v="1"/>
    <n v="1"/>
    <n v="1"/>
    <n v="1"/>
    <n v="1"/>
    <x v="3"/>
  </r>
  <r>
    <x v="163"/>
    <s v="Lmt Account"/>
    <s v="Jadma"/>
    <n v="0"/>
    <n v="0"/>
    <n v="1"/>
    <n v="1"/>
    <n v="0.5"/>
    <x v="3"/>
  </r>
  <r>
    <x v="55"/>
    <s v="Lmt Account"/>
    <s v="Jadma"/>
    <n v="0"/>
    <n v="1"/>
    <n v="1"/>
    <n v="1"/>
    <n v="0.75"/>
    <x v="3"/>
  </r>
  <r>
    <x v="56"/>
    <s v="Lmt Account"/>
    <s v="Salvo Grima Kampala"/>
    <n v="0"/>
    <n v="1"/>
    <n v="1"/>
    <n v="1"/>
    <n v="0.75"/>
    <x v="3"/>
  </r>
  <r>
    <x v="57"/>
    <s v="Fraine Account"/>
    <s v="Dhl"/>
    <n v="0"/>
    <n v="0"/>
    <n v="0"/>
    <n v="1"/>
    <n v="0.25"/>
    <x v="3"/>
  </r>
  <r>
    <x v="58"/>
    <s v="Fraine Account"/>
    <s v="Dhl"/>
    <n v="1"/>
    <n v="1"/>
    <n v="1"/>
    <n v="1"/>
    <n v="1"/>
    <x v="3"/>
  </r>
  <r>
    <x v="59"/>
    <s v="Fraine Account"/>
    <s v="Dhl"/>
    <n v="1"/>
    <n v="0"/>
    <n v="0"/>
    <n v="1"/>
    <n v="0.5"/>
    <x v="3"/>
  </r>
  <r>
    <x v="60"/>
    <s v="Fraine Account"/>
    <s v="Dhl"/>
    <n v="1"/>
    <n v="1"/>
    <n v="1"/>
    <n v="1"/>
    <n v="1"/>
    <x v="3"/>
  </r>
  <r>
    <x v="61"/>
    <s v="Fraine Account"/>
    <s v="Dhl"/>
    <n v="1"/>
    <n v="1"/>
    <n v="1"/>
    <n v="1"/>
    <n v="1"/>
    <x v="3"/>
  </r>
  <r>
    <x v="64"/>
    <s v="Lmt Account"/>
    <s v="Falkan Investments Ltd Mbarara"/>
    <n v="1"/>
    <n v="1"/>
    <n v="1"/>
    <n v="0"/>
    <n v="0.75"/>
    <x v="3"/>
  </r>
  <r>
    <x v="65"/>
    <s v="Lmt Account"/>
    <s v="Rabriel Investments Hoima"/>
    <n v="0"/>
    <n v="1"/>
    <n v="0"/>
    <n v="0"/>
    <n v="0.25"/>
    <x v="3"/>
  </r>
  <r>
    <x v="66"/>
    <s v="Lmt Account"/>
    <s v="Namwagale Business Enterprises"/>
    <n v="1"/>
    <n v="1"/>
    <n v="1"/>
    <n v="1"/>
    <n v="1"/>
    <x v="3"/>
  </r>
  <r>
    <x v="67"/>
    <s v="Lmt Account"/>
    <s v="Gt Trading Limited"/>
    <n v="1"/>
    <n v="1"/>
    <n v="1"/>
    <n v="1"/>
    <n v="1"/>
    <x v="3"/>
  </r>
  <r>
    <x v="68"/>
    <s v="Lmt Account"/>
    <s v="Salvo Grima Kampala"/>
    <n v="1"/>
    <n v="1"/>
    <n v="1"/>
    <n v="1"/>
    <n v="1"/>
    <x v="3"/>
  </r>
  <r>
    <x v="69"/>
    <s v="Lmt Account"/>
    <s v="Qima Ventures Enterprises"/>
    <n v="1"/>
    <n v="1"/>
    <n v="1"/>
    <n v="1"/>
    <n v="1"/>
    <x v="3"/>
  </r>
  <r>
    <x v="70"/>
    <s v="Lmt Account"/>
    <s v="Falkan Investments Ltd Mbarara"/>
    <n v="0"/>
    <n v="1"/>
    <n v="0"/>
    <n v="1"/>
    <n v="0.5"/>
    <x v="3"/>
  </r>
  <r>
    <x v="71"/>
    <s v="Lmt Account"/>
    <s v="Davakam Collections Ltd Kampala"/>
    <n v="1"/>
    <n v="1"/>
    <n v="0"/>
    <n v="1"/>
    <n v="0.75"/>
    <x v="3"/>
  </r>
  <r>
    <x v="72"/>
    <s v="Lmt Account"/>
    <s v="Zeripen Investments Limited"/>
    <n v="1"/>
    <n v="1"/>
    <n v="1"/>
    <n v="1"/>
    <n v="1"/>
    <x v="3"/>
  </r>
  <r>
    <x v="74"/>
    <s v="Lmt Account"/>
    <s v="Salvo Grima Kampala"/>
    <n v="1"/>
    <n v="1"/>
    <n v="1"/>
    <n v="1"/>
    <n v="1"/>
    <x v="3"/>
  </r>
  <r>
    <x v="75"/>
    <s v="Lmt Account"/>
    <s v="Davakam Collections Ltd Mubende"/>
    <n v="1"/>
    <n v="1"/>
    <n v="1"/>
    <n v="0"/>
    <n v="0.75"/>
    <x v="3"/>
  </r>
  <r>
    <x v="76"/>
    <s v="Lmt Account"/>
    <s v="Salvo Grima Kampala"/>
    <n v="0"/>
    <n v="1"/>
    <n v="1"/>
    <n v="1"/>
    <n v="0.75"/>
    <x v="3"/>
  </r>
  <r>
    <x v="77"/>
    <s v="Lmt Account"/>
    <s v="Salvo Grima Kampala"/>
    <n v="1"/>
    <n v="1"/>
    <n v="1"/>
    <n v="1"/>
    <n v="1"/>
    <x v="3"/>
  </r>
  <r>
    <x v="79"/>
    <s v="Lmt Account"/>
    <s v="Zeripen Investments Limited"/>
    <n v="1"/>
    <n v="0"/>
    <n v="1"/>
    <n v="1"/>
    <n v="0.75"/>
    <x v="3"/>
  </r>
  <r>
    <x v="81"/>
    <s v="Lmt Account"/>
    <s v="Davakam Collections Ltd Kampala"/>
    <n v="1"/>
    <n v="1"/>
    <n v="1"/>
    <n v="1"/>
    <n v="1"/>
    <x v="3"/>
  </r>
  <r>
    <x v="82"/>
    <s v="Lmt Account"/>
    <s v="Namwagale Business Enterprises"/>
    <n v="1"/>
    <n v="1"/>
    <n v="1"/>
    <n v="1"/>
    <n v="1"/>
    <x v="3"/>
  </r>
  <r>
    <x v="83"/>
    <s v="Lmt Account"/>
    <s v="Falkan Investments Ltd Mbarara"/>
    <n v="1"/>
    <n v="1"/>
    <n v="1"/>
    <n v="1"/>
    <n v="1"/>
    <x v="3"/>
  </r>
  <r>
    <x v="84"/>
    <s v="Lmt Account"/>
    <s v="Rabriel Investments Lira"/>
    <n v="1"/>
    <n v="1"/>
    <n v="1"/>
    <n v="1"/>
    <n v="1"/>
    <x v="3"/>
  </r>
  <r>
    <x v="85"/>
    <s v="Lmt Account"/>
    <s v="Salvo Grima Kampala"/>
    <n v="1"/>
    <n v="1"/>
    <n v="1"/>
    <n v="1"/>
    <n v="1"/>
    <x v="3"/>
  </r>
  <r>
    <x v="86"/>
    <s v="Lmt Account"/>
    <s v="Zeripen Investments Limited"/>
    <n v="0"/>
    <n v="1"/>
    <n v="1"/>
    <n v="1"/>
    <n v="0.75"/>
    <x v="3"/>
  </r>
  <r>
    <x v="87"/>
    <s v="Lmt Account"/>
    <s v="Zeripen Investments Limited"/>
    <n v="1"/>
    <n v="1"/>
    <n v="0"/>
    <n v="0"/>
    <n v="0.5"/>
    <x v="3"/>
  </r>
  <r>
    <x v="88"/>
    <s v="Lmt Account"/>
    <s v="Salvo Grima Masaka"/>
    <n v="1"/>
    <n v="1"/>
    <n v="1"/>
    <n v="1"/>
    <n v="1"/>
    <x v="3"/>
  </r>
  <r>
    <x v="89"/>
    <s v="Lmt Account"/>
    <s v="Rabriel Investments Lira"/>
    <n v="1"/>
    <n v="0"/>
    <n v="0"/>
    <n v="1"/>
    <n v="0.5"/>
    <x v="3"/>
  </r>
  <r>
    <x v="90"/>
    <s v="Lmt Account"/>
    <s v="Rabriel Investments Lira"/>
    <n v="1"/>
    <n v="1"/>
    <n v="1"/>
    <n v="1"/>
    <n v="1"/>
    <x v="3"/>
  </r>
  <r>
    <x v="91"/>
    <s v="Lmt Account"/>
    <s v="Rabriel Investments Lira"/>
    <n v="1"/>
    <n v="1"/>
    <n v="1"/>
    <m/>
    <n v="1"/>
    <x v="3"/>
  </r>
  <r>
    <x v="92"/>
    <s v="Lmt Account"/>
    <s v="Zeripen Investments Limited"/>
    <n v="0"/>
    <n v="0"/>
    <n v="0"/>
    <n v="0"/>
    <n v="0"/>
    <x v="3"/>
  </r>
  <r>
    <x v="93"/>
    <s v="Lmt Account"/>
    <s v="Salvo Grima Masaka"/>
    <n v="1"/>
    <n v="1"/>
    <n v="0"/>
    <n v="1"/>
    <n v="0.75"/>
    <x v="3"/>
  </r>
  <r>
    <x v="94"/>
    <s v="Lmt Account"/>
    <s v="Davakam Collections Ltd Kampala"/>
    <n v="0"/>
    <n v="1"/>
    <n v="1"/>
    <n v="1"/>
    <n v="0.75"/>
    <x v="3"/>
  </r>
  <r>
    <x v="95"/>
    <s v="Lmt Account"/>
    <s v="Mofunds Ltd"/>
    <n v="1"/>
    <n v="1"/>
    <n v="1"/>
    <n v="1"/>
    <n v="1"/>
    <x v="3"/>
  </r>
  <r>
    <x v="96"/>
    <s v="Lmt Account"/>
    <s v="Salvo Grima Kampala"/>
    <n v="1"/>
    <n v="0"/>
    <n v="1"/>
    <n v="1"/>
    <n v="0.75"/>
    <x v="3"/>
  </r>
  <r>
    <x v="98"/>
    <s v="Standard Account"/>
    <s v="Dhl"/>
    <n v="0"/>
    <n v="1"/>
    <n v="1"/>
    <n v="1"/>
    <n v="0.75"/>
    <x v="3"/>
  </r>
  <r>
    <x v="99"/>
    <s v="Lmt Account"/>
    <s v="Mofunds Ltd"/>
    <n v="0"/>
    <n v="0"/>
    <n v="0"/>
    <n v="1"/>
    <n v="0.25"/>
    <x v="3"/>
  </r>
  <r>
    <x v="100"/>
    <s v="Lmt Account"/>
    <s v="Mofunds Ltd"/>
    <n v="0"/>
    <n v="1"/>
    <n v="1"/>
    <n v="1"/>
    <n v="0.75"/>
    <x v="3"/>
  </r>
  <r>
    <x v="101"/>
    <s v="Lmt Account"/>
    <s v="Davakam Collections Ltd Kampala"/>
    <n v="1"/>
    <n v="1"/>
    <n v="0"/>
    <n v="1"/>
    <n v="0.75"/>
    <x v="3"/>
  </r>
  <r>
    <x v="102"/>
    <s v="Lmt Account"/>
    <s v="Dredro Distributors"/>
    <n v="1"/>
    <n v="1"/>
    <n v="1"/>
    <n v="1"/>
    <n v="1"/>
    <x v="3"/>
  </r>
  <r>
    <x v="103"/>
    <s v="Lmt Account"/>
    <s v="Davakam Collections Ltd Kampala"/>
    <n v="1"/>
    <n v="1"/>
    <n v="0"/>
    <n v="1"/>
    <n v="0.75"/>
    <x v="3"/>
  </r>
  <r>
    <x v="104"/>
    <s v="Lmt Account"/>
    <s v="Salvo Grima Masaka"/>
    <n v="1"/>
    <n v="1"/>
    <n v="1"/>
    <n v="0"/>
    <n v="0.75"/>
    <x v="3"/>
  </r>
  <r>
    <x v="105"/>
    <s v="Lmt Account"/>
    <s v="Namwagale Business Enterprises"/>
    <n v="1"/>
    <n v="1"/>
    <n v="1"/>
    <n v="1"/>
    <n v="1"/>
    <x v="3"/>
  </r>
  <r>
    <x v="106"/>
    <s v="Lmt Account"/>
    <s v="Qima Ventures Enterprises"/>
    <n v="1"/>
    <n v="1"/>
    <n v="1"/>
    <n v="1"/>
    <n v="1"/>
    <x v="3"/>
  </r>
  <r>
    <x v="107"/>
    <s v="Lmt Account"/>
    <s v="Dredro Distributors"/>
    <n v="1"/>
    <n v="1"/>
    <n v="1"/>
    <n v="1"/>
    <n v="1"/>
    <x v="3"/>
  </r>
  <r>
    <x v="108"/>
    <s v="Lmt Account"/>
    <s v="Dredro Distributors"/>
    <n v="1"/>
    <n v="1"/>
    <n v="1"/>
    <n v="1"/>
    <n v="1"/>
    <x v="3"/>
  </r>
  <r>
    <x v="109"/>
    <s v="Lmt Account"/>
    <s v="Rabriel Investments Lira"/>
    <n v="1"/>
    <n v="1"/>
    <n v="1"/>
    <n v="1"/>
    <n v="1"/>
    <x v="3"/>
  </r>
  <r>
    <x v="110"/>
    <s v="Lmt Account"/>
    <s v="Gt Trading Limited"/>
    <n v="1"/>
    <n v="1"/>
    <n v="1"/>
    <n v="1"/>
    <n v="1"/>
    <x v="3"/>
  </r>
  <r>
    <x v="111"/>
    <s v="Lmt Account"/>
    <s v="Qima Ventures Enterprises"/>
    <n v="1"/>
    <n v="1"/>
    <n v="1"/>
    <n v="1"/>
    <n v="1"/>
    <x v="3"/>
  </r>
  <r>
    <x v="112"/>
    <s v="Lmt Account"/>
    <s v="Rabriel Investments Lira"/>
    <n v="1"/>
    <n v="1"/>
    <n v="1"/>
    <n v="1"/>
    <n v="1"/>
    <x v="3"/>
  </r>
  <r>
    <x v="113"/>
    <s v="Lmt Account"/>
    <s v="Zeripen Investments Limited"/>
    <n v="1"/>
    <n v="1"/>
    <n v="1"/>
    <n v="1"/>
    <n v="1"/>
    <x v="3"/>
  </r>
  <r>
    <x v="114"/>
    <s v="Lmt Account"/>
    <s v="Zeripen Investments Limited"/>
    <n v="1"/>
    <n v="1"/>
    <n v="1"/>
    <n v="1"/>
    <n v="1"/>
    <x v="3"/>
  </r>
  <r>
    <x v="116"/>
    <s v="Lmt Account"/>
    <s v="Salvo Grima Kampala"/>
    <n v="1"/>
    <n v="1"/>
    <n v="1"/>
    <n v="1"/>
    <n v="1"/>
    <x v="3"/>
  </r>
  <r>
    <x v="117"/>
    <s v="Lmt Account"/>
    <s v="Salvo Grima Masaka"/>
    <n v="0"/>
    <n v="1"/>
    <n v="0"/>
    <n v="1"/>
    <n v="0.5"/>
    <x v="3"/>
  </r>
  <r>
    <x v="118"/>
    <s v="Lmt Account"/>
    <s v="Mofunds Ltd"/>
    <n v="1"/>
    <n v="1"/>
    <n v="1"/>
    <n v="1"/>
    <n v="1"/>
    <x v="3"/>
  </r>
  <r>
    <x v="119"/>
    <s v="Lmt Account"/>
    <s v="Zeripen Investments Limited"/>
    <n v="0"/>
    <n v="0"/>
    <n v="0"/>
    <n v="1"/>
    <n v="0.25"/>
    <x v="3"/>
  </r>
  <r>
    <x v="121"/>
    <s v="Lmt Account"/>
    <s v="Qima Ventures Enterprises"/>
    <n v="0"/>
    <n v="0"/>
    <n v="1"/>
    <n v="1"/>
    <n v="0.5"/>
    <x v="3"/>
  </r>
  <r>
    <x v="122"/>
    <s v="Quality Account"/>
    <s v="Dhl"/>
    <n v="0"/>
    <n v="1"/>
    <n v="0"/>
    <n v="0"/>
    <n v="0.25"/>
    <x v="3"/>
  </r>
  <r>
    <x v="123"/>
    <s v="Quality Account"/>
    <s v="Dhl"/>
    <n v="0"/>
    <n v="1"/>
    <n v="0"/>
    <n v="1"/>
    <n v="0.5"/>
    <x v="3"/>
  </r>
  <r>
    <x v="124"/>
    <s v="Quality Account"/>
    <s v="Dhl"/>
    <n v="0"/>
    <n v="1"/>
    <n v="0"/>
    <n v="1"/>
    <n v="0.5"/>
    <x v="3"/>
  </r>
  <r>
    <x v="125"/>
    <s v="Quality Account"/>
    <s v="Dhl"/>
    <n v="0"/>
    <n v="1"/>
    <n v="1"/>
    <n v="1"/>
    <n v="0.75"/>
    <x v="3"/>
  </r>
  <r>
    <x v="127"/>
    <s v="Lmt Account"/>
    <s v="Salvo Grima Kampala"/>
    <n v="1"/>
    <n v="1"/>
    <n v="1"/>
    <n v="1"/>
    <n v="1"/>
    <x v="3"/>
  </r>
  <r>
    <x v="128"/>
    <s v="Lmt Account"/>
    <s v="Falkan Investments Ltd Mbarara"/>
    <n v="1"/>
    <n v="1"/>
    <n v="1"/>
    <n v="1"/>
    <n v="1"/>
    <x v="3"/>
  </r>
  <r>
    <x v="129"/>
    <s v="Lmt Account"/>
    <s v="Qima Ventures Enterprises"/>
    <n v="1"/>
    <n v="1"/>
    <n v="1"/>
    <n v="1"/>
    <n v="1"/>
    <x v="3"/>
  </r>
  <r>
    <x v="130"/>
    <s v="Lmt Account"/>
    <s v="Gt Trading Limited"/>
    <n v="1"/>
    <n v="1"/>
    <n v="0"/>
    <n v="1"/>
    <n v="0.75"/>
    <x v="3"/>
  </r>
  <r>
    <x v="131"/>
    <s v="Lmt Account"/>
    <s v="Davakam Collections Ltd Mubende"/>
    <n v="1"/>
    <n v="1"/>
    <n v="1"/>
    <n v="1"/>
    <n v="1"/>
    <x v="3"/>
  </r>
  <r>
    <x v="132"/>
    <s v="Lmt Account"/>
    <s v="Salvo Grima Kampala"/>
    <n v="0"/>
    <n v="0"/>
    <n v="1"/>
    <n v="0"/>
    <n v="0.25"/>
    <x v="3"/>
  </r>
  <r>
    <x v="133"/>
    <s v="Lmt Account"/>
    <s v="Zeripen Investments Limited"/>
    <n v="0"/>
    <n v="1"/>
    <n v="1"/>
    <n v="1"/>
    <n v="0.75"/>
    <x v="3"/>
  </r>
  <r>
    <x v="134"/>
    <s v="Lmt Account"/>
    <s v="Zeripen Investments Limited"/>
    <n v="1"/>
    <n v="1"/>
    <n v="1"/>
    <n v="1"/>
    <n v="1"/>
    <x v="3"/>
  </r>
  <r>
    <x v="135"/>
    <s v="Lmt Account"/>
    <s v="Davakam Collections Ltd Kampala"/>
    <n v="1"/>
    <n v="1"/>
    <n v="1"/>
    <n v="1"/>
    <n v="1"/>
    <x v="3"/>
  </r>
  <r>
    <x v="136"/>
    <s v="Lmt Account"/>
    <s v="Qima Ventures Enterprises"/>
    <n v="1"/>
    <n v="1"/>
    <n v="1"/>
    <n v="1"/>
    <n v="1"/>
    <x v="3"/>
  </r>
  <r>
    <x v="137"/>
    <s v="Lmt Account"/>
    <s v="Salvo Grima Fortportal"/>
    <n v="1"/>
    <n v="1"/>
    <n v="1"/>
    <n v="0"/>
    <n v="0.75"/>
    <x v="3"/>
  </r>
  <r>
    <x v="138"/>
    <s v="Lmt Account"/>
    <s v="Namwagale Business Enterprises"/>
    <n v="1"/>
    <n v="1"/>
    <n v="1"/>
    <n v="1"/>
    <n v="1"/>
    <x v="3"/>
  </r>
  <r>
    <x v="139"/>
    <s v="Lmt Account"/>
    <s v="Salvo Grima Fortportal"/>
    <n v="1"/>
    <n v="1"/>
    <n v="1"/>
    <n v="1"/>
    <n v="1"/>
    <x v="3"/>
  </r>
  <r>
    <x v="140"/>
    <s v="Lmt Account"/>
    <s v="Davakam Collections Ltd Kampala"/>
    <n v="1"/>
    <n v="1"/>
    <n v="0"/>
    <n v="1"/>
    <n v="0.75"/>
    <x v="3"/>
  </r>
  <r>
    <x v="141"/>
    <s v="Lmt Account"/>
    <s v="Salvo Grima Kampala"/>
    <n v="1"/>
    <n v="1"/>
    <n v="1"/>
    <n v="1"/>
    <n v="1"/>
    <x v="3"/>
  </r>
  <r>
    <x v="142"/>
    <s v="Lmt Account"/>
    <s v="Rabriel Investments Gulu"/>
    <n v="1"/>
    <n v="1"/>
    <n v="1"/>
    <n v="1"/>
    <n v="1"/>
    <x v="3"/>
  </r>
  <r>
    <x v="143"/>
    <s v="Lmt Account"/>
    <s v="Davakam Collections Ltd Kampala"/>
    <n v="1"/>
    <n v="1"/>
    <n v="1"/>
    <n v="1"/>
    <n v="1"/>
    <x v="3"/>
  </r>
  <r>
    <x v="144"/>
    <s v="Lmt Account"/>
    <s v="Salvo Grima Kampala"/>
    <n v="0"/>
    <n v="1"/>
    <n v="1"/>
    <n v="1"/>
    <n v="0.75"/>
    <x v="3"/>
  </r>
  <r>
    <x v="145"/>
    <s v="Lmt Account"/>
    <s v="Davakam Collections Ltd Kampala"/>
    <n v="0"/>
    <n v="1"/>
    <n v="0"/>
    <n v="1"/>
    <n v="0.5"/>
    <x v="3"/>
  </r>
  <r>
    <x v="146"/>
    <s v="Lmt Account"/>
    <s v="Mofunds Ltd"/>
    <n v="1"/>
    <n v="1"/>
    <n v="1"/>
    <n v="1"/>
    <n v="1"/>
    <x v="3"/>
  </r>
  <r>
    <x v="147"/>
    <s v="Standard Account"/>
    <s v="Dhl"/>
    <n v="1"/>
    <n v="1"/>
    <n v="1"/>
    <n v="1"/>
    <n v="1"/>
    <x v="3"/>
  </r>
  <r>
    <x v="148"/>
    <s v="Standard Account"/>
    <s v="Dhl"/>
    <n v="1"/>
    <n v="0"/>
    <n v="1"/>
    <n v="1"/>
    <n v="0.75"/>
    <x v="3"/>
  </r>
  <r>
    <x v="149"/>
    <s v="Standard Account"/>
    <s v="Dhl"/>
    <n v="0"/>
    <n v="0"/>
    <n v="0"/>
    <n v="1"/>
    <n v="0.25"/>
    <x v="3"/>
  </r>
  <r>
    <x v="150"/>
    <s v="Lmt Account"/>
    <s v="Rabriel Investments Hoima"/>
    <n v="1"/>
    <n v="1"/>
    <n v="1"/>
    <n v="1"/>
    <n v="1"/>
    <x v="3"/>
  </r>
  <r>
    <x v="151"/>
    <s v="Lmt Account"/>
    <s v="Mofunds Ltd"/>
    <n v="1"/>
    <n v="1"/>
    <n v="1"/>
    <n v="1"/>
    <n v="1"/>
    <x v="3"/>
  </r>
  <r>
    <x v="152"/>
    <s v="Lmt Account"/>
    <s v="Namwagale Business Enterprises"/>
    <n v="1"/>
    <n v="1"/>
    <n v="1"/>
    <n v="1"/>
    <n v="1"/>
    <x v="3"/>
  </r>
  <r>
    <x v="153"/>
    <s v="Lmt Account"/>
    <s v="Salvo Grima Kampala"/>
    <n v="1"/>
    <n v="1"/>
    <n v="1"/>
    <n v="0"/>
    <n v="0.75"/>
    <x v="3"/>
  </r>
  <r>
    <x v="154"/>
    <s v="Lmt Account"/>
    <s v="Dredro Distributors"/>
    <n v="1"/>
    <n v="1"/>
    <n v="1"/>
    <n v="1"/>
    <n v="1"/>
    <x v="3"/>
  </r>
  <r>
    <x v="155"/>
    <s v="Lmt Account"/>
    <s v="Dredro Distributors"/>
    <n v="1"/>
    <n v="1"/>
    <n v="1"/>
    <n v="1"/>
    <n v="1"/>
    <x v="3"/>
  </r>
  <r>
    <x v="156"/>
    <s v="Lmt Account"/>
    <s v="Salvo Grima Kampala"/>
    <n v="1"/>
    <n v="1"/>
    <n v="1"/>
    <n v="1"/>
    <n v="1"/>
    <x v="3"/>
  </r>
  <r>
    <x v="157"/>
    <s v="Lmt Account"/>
    <s v="Zeripen Investments Limited"/>
    <n v="1"/>
    <n v="1"/>
    <n v="0"/>
    <n v="1"/>
    <n v="0.75"/>
    <x v="3"/>
  </r>
  <r>
    <x v="158"/>
    <s v="Lmt Account"/>
    <s v="Zeripen Investments Limited"/>
    <n v="1"/>
    <n v="0"/>
    <n v="0"/>
    <n v="1"/>
    <n v="0.5"/>
    <x v="3"/>
  </r>
  <r>
    <x v="159"/>
    <s v="Lmt Account"/>
    <s v="Dredro Distributors"/>
    <n v="1"/>
    <n v="1"/>
    <n v="1"/>
    <n v="1"/>
    <n v="1"/>
    <x v="3"/>
  </r>
  <r>
    <x v="160"/>
    <s v="Lmt Account"/>
    <s v="Dredro Distributors"/>
    <n v="1"/>
    <n v="1"/>
    <n v="0"/>
    <n v="1"/>
    <n v="0.75"/>
    <x v="3"/>
  </r>
  <r>
    <x v="161"/>
    <s v="Lmt Account"/>
    <s v="Davakam Collections Ltd Kampala"/>
    <n v="1"/>
    <n v="1"/>
    <n v="1"/>
    <n v="1"/>
    <n v="1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9A8E02-2A4D-4AE1-9F80-B401D89BAA9F}" name="PivotTable9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3:E168" firstHeaderRow="1" firstDataRow="2" firstDataCol="1"/>
  <pivotFields count="9">
    <pivotField axis="axisRow" showAll="0">
      <items count="16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axis="axisCol" showAll="0">
      <items count="6">
        <item x="3"/>
        <item x="1"/>
        <item x="0"/>
        <item x="2"/>
        <item n="SOS vs som " m="1" x="4"/>
        <item t="default"/>
      </items>
    </pivotField>
  </pivotFields>
  <rowFields count="1">
    <field x="0"/>
  </rowFields>
  <rowItems count="16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</rowItems>
  <colFields count="1">
    <field x="8"/>
  </colFields>
  <colItems count="4">
    <i>
      <x/>
    </i>
    <i>
      <x v="1"/>
    </i>
    <i>
      <x v="2"/>
    </i>
    <i>
      <x v="3"/>
    </i>
  </colItems>
  <dataFields count="1">
    <dataField name="Sum of Home care" fld="3" baseField="0" baseItem="0"/>
  </dataFields>
  <formats count="1">
    <format dxfId="1">
      <pivotArea outline="0" collapsedLevelsAreSubtotals="1" fieldPosition="0">
        <references count="1">
          <reference field="8" count="1" selected="0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8D2FC0D-1FB4-4D74-A6CE-D74D0C88CABD}" name="Table2" displayName="Table2" ref="A2:H153" totalsRowShown="0" headerRowDxfId="17" dataDxfId="16" headerRowCellStyle="Percent" dataCellStyle="Percent">
  <autoFilter ref="A2:H153" xr:uid="{39D1644D-C2D4-4DC0-B20B-08C845DE20B8}"/>
  <tableColumns count="8">
    <tableColumn id="1" xr3:uid="{73F74C17-AB55-4094-AC3E-72474A8227E9}" name="Row Labels" dataDxfId="15"/>
    <tableColumn id="2" xr3:uid="{683A4572-9746-4A5A-91A9-753B5221CE4A}" name="Center Alignment" dataDxfId="14" dataCellStyle="Percent"/>
    <tableColumn id="3" xr3:uid="{4DB5E735-CC65-453E-A887-9CFB1DF2BEFF}" name="NPD" dataDxfId="13" dataCellStyle="Percent"/>
    <tableColumn id="4" xr3:uid="{F574B631-706D-4552-9A3D-19BDA5E5B29A}" name="OSA" dataDxfId="12" dataCellStyle="Percent"/>
    <tableColumn id="5" xr3:uid="{231A1904-FD18-419C-9AD2-546C48758BA0}" name="POSM" dataDxfId="11" dataCellStyle="Percent"/>
    <tableColumn id="6" xr3:uid="{EB65DF20-D5CA-4178-BF57-1814979ACC26}" name="SOS vs SOM" dataDxfId="10" dataCellStyle="Percent">
      <calculatedColumnFormula>VLOOKUP(A:A,'SOS VS SOM'!A:E,4,FALSE)</calculatedColumnFormula>
    </tableColumn>
    <tableColumn id="7" xr3:uid="{E1A35C2B-AD9B-417C-B946-46B9B60B2AF1}" name="Average Score" dataDxfId="9">
      <calculatedColumnFormula>AVERAGE(B3:F3)</calculatedColumnFormula>
    </tableColumn>
    <tableColumn id="8" xr3:uid="{7A079BD4-7709-447A-AF89-BB51BDD6A5AD}" name="Score" dataDxfId="8">
      <calculatedColumnFormula>IF(G3&gt;=60%,"pay","don't pay")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8FD607-76BF-4B61-9855-C9ABE7E126BD}" name="Table1" displayName="Table1" ref="A1:E141" totalsRowShown="0" headerRowDxfId="7" dataDxfId="6" dataCellStyle="Percent">
  <autoFilter ref="A1:E141" xr:uid="{798FD607-76BF-4B61-9855-C9ABE7E126BD}"/>
  <tableColumns count="5">
    <tableColumn id="1" xr3:uid="{A153513A-0A35-4B8B-AD8E-8788EF72F32E}" name="OUTLETS" dataDxfId="5"/>
    <tableColumn id="2" xr3:uid="{5354E95D-4A48-4B74-A543-9CD3942A15CF}" name=" % SOS " dataDxfId="4" dataCellStyle="Percent"/>
    <tableColumn id="3" xr3:uid="{7FDECBF9-B979-47CB-A837-B2B50452E22F}" name="%SOM" dataDxfId="3" dataCellStyle="Percent"/>
    <tableColumn id="4" xr3:uid="{C00582D3-46DF-43B6-9B62-0CE1FAF3D1C8}" name="SOS VS SOM" dataDxfId="2" dataCellStyle="Percent"/>
    <tableColumn id="5" xr3:uid="{A563B846-DEFB-4F6B-AD7C-1DB492F9BC69}" name="Pay status " dataDxfId="0" dataCellStyle="Percent">
      <calculatedColumnFormula>IF(Table1[[#This Row],[SOS VS SOM]]=100%,"Pay","Don't pay")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1644D-C2D4-4DC0-B20B-08C845DE20B8}">
  <dimension ref="A2:H153"/>
  <sheetViews>
    <sheetView showGridLines="0" tabSelected="1" workbookViewId="0">
      <selection activeCell="A14" sqref="A14"/>
    </sheetView>
  </sheetViews>
  <sheetFormatPr defaultRowHeight="14.5" x14ac:dyDescent="0.35"/>
  <cols>
    <col min="1" max="1" width="36.453125" bestFit="1" customWidth="1"/>
    <col min="2" max="2" width="18.54296875" style="24" bestFit="1" customWidth="1"/>
    <col min="3" max="3" width="8.6328125" style="24" bestFit="1" customWidth="1"/>
    <col min="4" max="4" width="8.90625" style="24" bestFit="1" customWidth="1"/>
    <col min="5" max="5" width="10" style="24" bestFit="1" customWidth="1"/>
    <col min="6" max="6" width="15.1796875" style="24" bestFit="1" customWidth="1"/>
    <col min="7" max="7" width="16.6328125" style="26" bestFit="1" customWidth="1"/>
    <col min="8" max="8" width="7.81640625" bestFit="1" customWidth="1"/>
  </cols>
  <sheetData>
    <row r="2" spans="1:8" x14ac:dyDescent="0.35">
      <c r="A2" s="18" t="s">
        <v>198</v>
      </c>
      <c r="B2" s="21" t="s">
        <v>201</v>
      </c>
      <c r="C2" s="21" t="s">
        <v>195</v>
      </c>
      <c r="D2" s="21" t="s">
        <v>11</v>
      </c>
      <c r="E2" s="21" t="s">
        <v>196</v>
      </c>
      <c r="F2" s="21" t="s">
        <v>209</v>
      </c>
      <c r="G2" s="21" t="s">
        <v>210</v>
      </c>
      <c r="H2" s="19" t="s">
        <v>199</v>
      </c>
    </row>
    <row r="3" spans="1:8" x14ac:dyDescent="0.35">
      <c r="A3" s="20" t="s">
        <v>8</v>
      </c>
      <c r="B3" s="22">
        <v>1</v>
      </c>
      <c r="C3" s="22">
        <v>0.77777777777777779</v>
      </c>
      <c r="D3" s="22">
        <v>1</v>
      </c>
      <c r="E3" s="22">
        <v>1</v>
      </c>
      <c r="F3" s="22">
        <f>VLOOKUP(A:A,'SOS VS SOM'!A:E,4,FALSE)</f>
        <v>0</v>
      </c>
      <c r="G3" s="25">
        <f>AVERAGE(B3:F3)</f>
        <v>0.75555555555555554</v>
      </c>
      <c r="H3" s="15" t="str">
        <f>IF(G3&gt;=60%,"pay","don't pay")</f>
        <v>pay</v>
      </c>
    </row>
    <row r="4" spans="1:8" x14ac:dyDescent="0.35">
      <c r="A4" s="20" t="s">
        <v>12</v>
      </c>
      <c r="B4" s="22">
        <v>1</v>
      </c>
      <c r="C4" s="22">
        <v>1</v>
      </c>
      <c r="D4" s="22">
        <v>1</v>
      </c>
      <c r="E4" s="22">
        <v>1</v>
      </c>
      <c r="F4" s="22">
        <f>VLOOKUP(A:A,'SOS VS SOM'!A:E,4,FALSE)</f>
        <v>0</v>
      </c>
      <c r="G4" s="25">
        <f t="shared" ref="G4:G62" si="0">AVERAGE(B4:F4)</f>
        <v>0.8</v>
      </c>
      <c r="H4" s="15" t="str">
        <f t="shared" ref="H4:H62" si="1">IF(G4&gt;=60%,"pay","don't pay")</f>
        <v>pay</v>
      </c>
    </row>
    <row r="5" spans="1:8" x14ac:dyDescent="0.35">
      <c r="A5" s="20" t="s">
        <v>14</v>
      </c>
      <c r="B5" s="22">
        <v>1</v>
      </c>
      <c r="C5" s="22">
        <v>0.4</v>
      </c>
      <c r="D5" s="22">
        <v>1</v>
      </c>
      <c r="E5" s="22">
        <v>1</v>
      </c>
      <c r="F5" s="22">
        <f>VLOOKUP(A:A,'SOS VS SOM'!A:E,4,FALSE)</f>
        <v>0</v>
      </c>
      <c r="G5" s="25">
        <f t="shared" si="0"/>
        <v>0.67999999999999994</v>
      </c>
      <c r="H5" s="15" t="str">
        <f t="shared" si="1"/>
        <v>pay</v>
      </c>
    </row>
    <row r="6" spans="1:8" x14ac:dyDescent="0.35">
      <c r="A6" s="20" t="s">
        <v>15</v>
      </c>
      <c r="B6" s="22">
        <v>1</v>
      </c>
      <c r="C6" s="22">
        <v>1</v>
      </c>
      <c r="D6" s="22">
        <v>1</v>
      </c>
      <c r="E6" s="22">
        <v>1</v>
      </c>
      <c r="F6" s="22">
        <f>VLOOKUP(A:A,'SOS VS SOM'!A:E,4,FALSE)</f>
        <v>0</v>
      </c>
      <c r="G6" s="25">
        <f t="shared" si="0"/>
        <v>0.8</v>
      </c>
      <c r="H6" s="15" t="str">
        <f t="shared" si="1"/>
        <v>pay</v>
      </c>
    </row>
    <row r="7" spans="1:8" x14ac:dyDescent="0.35">
      <c r="A7" s="20" t="s">
        <v>17</v>
      </c>
      <c r="B7" s="22">
        <v>1</v>
      </c>
      <c r="C7" s="22">
        <v>0.45454545454545453</v>
      </c>
      <c r="D7" s="22">
        <v>0.85925925925925928</v>
      </c>
      <c r="E7" s="22">
        <v>1</v>
      </c>
      <c r="F7" s="22">
        <f>VLOOKUP(A:A,'SOS VS SOM'!A:E,4,FALSE)</f>
        <v>0</v>
      </c>
      <c r="G7" s="25">
        <f t="shared" si="0"/>
        <v>0.66276094276094277</v>
      </c>
      <c r="H7" s="15" t="str">
        <f t="shared" si="1"/>
        <v>pay</v>
      </c>
    </row>
    <row r="8" spans="1:8" x14ac:dyDescent="0.35">
      <c r="A8" s="20" t="s">
        <v>19</v>
      </c>
      <c r="B8" s="22">
        <v>0</v>
      </c>
      <c r="C8" s="22">
        <v>0.4</v>
      </c>
      <c r="D8" s="22">
        <v>1</v>
      </c>
      <c r="E8" s="22">
        <v>1</v>
      </c>
      <c r="F8" s="22">
        <f>VLOOKUP(A:A,'SOS VS SOM'!A:E,4,FALSE)</f>
        <v>1</v>
      </c>
      <c r="G8" s="25">
        <f t="shared" si="0"/>
        <v>0.67999999999999994</v>
      </c>
      <c r="H8" s="15" t="str">
        <f t="shared" si="1"/>
        <v>pay</v>
      </c>
    </row>
    <row r="9" spans="1:8" x14ac:dyDescent="0.35">
      <c r="A9" s="20" t="s">
        <v>20</v>
      </c>
      <c r="B9" s="22">
        <v>1</v>
      </c>
      <c r="C9" s="22">
        <v>0.4</v>
      </c>
      <c r="D9" s="22">
        <v>1</v>
      </c>
      <c r="E9" s="22">
        <v>1</v>
      </c>
      <c r="F9" s="22">
        <f>VLOOKUP(A:A,'SOS VS SOM'!A:E,4,FALSE)</f>
        <v>1</v>
      </c>
      <c r="G9" s="25">
        <f t="shared" si="0"/>
        <v>0.88000000000000012</v>
      </c>
      <c r="H9" s="15" t="str">
        <f t="shared" si="1"/>
        <v>pay</v>
      </c>
    </row>
    <row r="10" spans="1:8" x14ac:dyDescent="0.35">
      <c r="A10" s="20" t="s">
        <v>22</v>
      </c>
      <c r="B10" s="22">
        <v>1</v>
      </c>
      <c r="C10" s="22">
        <v>1</v>
      </c>
      <c r="D10" s="22">
        <v>1</v>
      </c>
      <c r="E10" s="22">
        <v>1</v>
      </c>
      <c r="F10" s="22">
        <f>VLOOKUP(A:A,'SOS VS SOM'!A:E,4,FALSE)</f>
        <v>0</v>
      </c>
      <c r="G10" s="25">
        <f t="shared" si="0"/>
        <v>0.8</v>
      </c>
      <c r="H10" s="15" t="str">
        <f t="shared" si="1"/>
        <v>pay</v>
      </c>
    </row>
    <row r="11" spans="1:8" x14ac:dyDescent="0.35">
      <c r="A11" s="20" t="s">
        <v>24</v>
      </c>
      <c r="B11" s="22">
        <v>1</v>
      </c>
      <c r="C11" s="22">
        <v>0.63636363636363635</v>
      </c>
      <c r="D11" s="22">
        <v>1</v>
      </c>
      <c r="E11" s="22">
        <v>1</v>
      </c>
      <c r="F11" s="22">
        <f>VLOOKUP(A:A,'SOS VS SOM'!A:E,4,FALSE)</f>
        <v>1</v>
      </c>
      <c r="G11" s="25">
        <f t="shared" si="0"/>
        <v>0.92727272727272736</v>
      </c>
      <c r="H11" s="15" t="str">
        <f t="shared" si="1"/>
        <v>pay</v>
      </c>
    </row>
    <row r="12" spans="1:8" x14ac:dyDescent="0.35">
      <c r="A12" s="20" t="s">
        <v>25</v>
      </c>
      <c r="B12" s="22">
        <v>1</v>
      </c>
      <c r="C12" s="22">
        <v>0.85</v>
      </c>
      <c r="D12" s="22">
        <v>0.99629629629629635</v>
      </c>
      <c r="E12" s="22">
        <v>1</v>
      </c>
      <c r="F12" s="22">
        <f>VLOOKUP(A:A,'SOS VS SOM'!A:E,4,FALSE)</f>
        <v>0</v>
      </c>
      <c r="G12" s="25">
        <f t="shared" si="0"/>
        <v>0.76925925925925931</v>
      </c>
      <c r="H12" s="15" t="str">
        <f t="shared" si="1"/>
        <v>pay</v>
      </c>
    </row>
    <row r="13" spans="1:8" x14ac:dyDescent="0.35">
      <c r="A13" s="20" t="s">
        <v>27</v>
      </c>
      <c r="B13" s="22">
        <v>1</v>
      </c>
      <c r="C13" s="22">
        <v>0.55000000000000004</v>
      </c>
      <c r="D13" s="22">
        <v>0.97083333333333333</v>
      </c>
      <c r="E13" s="22">
        <v>1</v>
      </c>
      <c r="F13" s="22">
        <f>VLOOKUP(A:A,'SOS VS SOM'!A:E,4,FALSE)</f>
        <v>0</v>
      </c>
      <c r="G13" s="25">
        <f t="shared" si="0"/>
        <v>0.70416666666666672</v>
      </c>
      <c r="H13" s="15" t="str">
        <f t="shared" si="1"/>
        <v>pay</v>
      </c>
    </row>
    <row r="14" spans="1:8" x14ac:dyDescent="0.35">
      <c r="A14" s="20" t="s">
        <v>28</v>
      </c>
      <c r="B14" s="22">
        <v>0</v>
      </c>
      <c r="C14" s="22">
        <v>0.22222222222222221</v>
      </c>
      <c r="D14" s="22">
        <v>0.94153846153846155</v>
      </c>
      <c r="E14" s="22">
        <v>1</v>
      </c>
      <c r="F14" s="22">
        <f>VLOOKUP(A:A,'SOS VS SOM'!A:E,4,FALSE)</f>
        <v>0</v>
      </c>
      <c r="G14" s="25">
        <f t="shared" si="0"/>
        <v>0.4327521367521367</v>
      </c>
      <c r="H14" s="15" t="str">
        <f t="shared" si="1"/>
        <v>don't pay</v>
      </c>
    </row>
    <row r="15" spans="1:8" x14ac:dyDescent="0.35">
      <c r="A15" s="20" t="s">
        <v>31</v>
      </c>
      <c r="B15" s="22">
        <v>1</v>
      </c>
      <c r="C15" s="22">
        <v>0.38636363636363635</v>
      </c>
      <c r="D15" s="22">
        <v>0.96011396011396011</v>
      </c>
      <c r="E15" s="22">
        <v>1</v>
      </c>
      <c r="F15" s="22">
        <f>VLOOKUP(A:A,'SOS VS SOM'!A:E,4,FALSE)</f>
        <v>0</v>
      </c>
      <c r="G15" s="25">
        <f t="shared" si="0"/>
        <v>0.66929551929551923</v>
      </c>
      <c r="H15" s="15" t="str">
        <f t="shared" si="1"/>
        <v>pay</v>
      </c>
    </row>
    <row r="16" spans="1:8" x14ac:dyDescent="0.35">
      <c r="A16" s="20" t="s">
        <v>32</v>
      </c>
      <c r="B16" s="22">
        <v>1</v>
      </c>
      <c r="C16" s="22">
        <v>0.2</v>
      </c>
      <c r="D16" s="22">
        <v>0.94939271255060731</v>
      </c>
      <c r="E16" s="22">
        <v>1</v>
      </c>
      <c r="F16" s="22">
        <f>VLOOKUP(A:A,'SOS VS SOM'!A:E,4,FALSE)</f>
        <v>0</v>
      </c>
      <c r="G16" s="25">
        <f t="shared" si="0"/>
        <v>0.62987854251012143</v>
      </c>
      <c r="H16" s="15" t="str">
        <f t="shared" si="1"/>
        <v>pay</v>
      </c>
    </row>
    <row r="17" spans="1:8" x14ac:dyDescent="0.35">
      <c r="A17" s="20" t="s">
        <v>33</v>
      </c>
      <c r="B17" s="22">
        <v>0</v>
      </c>
      <c r="C17" s="22">
        <v>0.22222222222222221</v>
      </c>
      <c r="D17" s="22">
        <v>0.947209653092006</v>
      </c>
      <c r="E17" s="22">
        <v>1</v>
      </c>
      <c r="F17" s="22">
        <f>VLOOKUP(A:A,'SOS VS SOM'!A:E,4,FALSE)</f>
        <v>1</v>
      </c>
      <c r="G17" s="25">
        <f t="shared" si="0"/>
        <v>0.63388637506284562</v>
      </c>
      <c r="H17" s="15" t="str">
        <f t="shared" si="1"/>
        <v>pay</v>
      </c>
    </row>
    <row r="18" spans="1:8" x14ac:dyDescent="0.35">
      <c r="A18" s="20" t="s">
        <v>34</v>
      </c>
      <c r="B18" s="22">
        <v>1</v>
      </c>
      <c r="C18" s="22">
        <v>0.44444444444444442</v>
      </c>
      <c r="D18" s="22">
        <v>1</v>
      </c>
      <c r="E18" s="22">
        <v>0</v>
      </c>
      <c r="F18" s="22">
        <f>VLOOKUP(A:A,'SOS VS SOM'!A:E,4,FALSE)</f>
        <v>0</v>
      </c>
      <c r="G18" s="25">
        <f t="shared" si="0"/>
        <v>0.48888888888888893</v>
      </c>
      <c r="H18" s="15" t="str">
        <f t="shared" si="1"/>
        <v>don't pay</v>
      </c>
    </row>
    <row r="19" spans="1:8" x14ac:dyDescent="0.35">
      <c r="A19" s="20" t="s">
        <v>36</v>
      </c>
      <c r="B19" s="22">
        <v>0</v>
      </c>
      <c r="C19" s="22">
        <v>0.4</v>
      </c>
      <c r="D19" s="22">
        <v>0.86596736596736601</v>
      </c>
      <c r="E19" s="22">
        <v>0</v>
      </c>
      <c r="F19" s="22">
        <f>VLOOKUP(A:A,'SOS VS SOM'!A:E,4,FALSE)</f>
        <v>0</v>
      </c>
      <c r="G19" s="25">
        <f t="shared" si="0"/>
        <v>0.25319347319347318</v>
      </c>
      <c r="H19" s="15" t="str">
        <f t="shared" si="1"/>
        <v>don't pay</v>
      </c>
    </row>
    <row r="20" spans="1:8" x14ac:dyDescent="0.35">
      <c r="A20" s="20" t="s">
        <v>37</v>
      </c>
      <c r="B20" s="22">
        <v>1</v>
      </c>
      <c r="C20" s="22">
        <v>0.4</v>
      </c>
      <c r="D20" s="22">
        <v>0.95540308747855918</v>
      </c>
      <c r="E20" s="22">
        <v>0</v>
      </c>
      <c r="F20" s="22">
        <f>VLOOKUP(A:A,'SOS VS SOM'!A:E,4,FALSE)</f>
        <v>0</v>
      </c>
      <c r="G20" s="25">
        <f t="shared" si="0"/>
        <v>0.47108061749571178</v>
      </c>
      <c r="H20" s="15" t="str">
        <f t="shared" si="1"/>
        <v>don't pay</v>
      </c>
    </row>
    <row r="21" spans="1:8" x14ac:dyDescent="0.35">
      <c r="A21" s="20" t="s">
        <v>38</v>
      </c>
      <c r="B21" s="22">
        <v>0</v>
      </c>
      <c r="C21" s="22">
        <v>0.4</v>
      </c>
      <c r="D21" s="22">
        <v>0.93846153846153846</v>
      </c>
      <c r="E21" s="22">
        <v>1</v>
      </c>
      <c r="F21" s="22">
        <f>VLOOKUP(A:A,'SOS VS SOM'!A:E,4,FALSE)</f>
        <v>0</v>
      </c>
      <c r="G21" s="25">
        <f t="shared" si="0"/>
        <v>0.46769230769230774</v>
      </c>
      <c r="H21" s="15" t="str">
        <f t="shared" si="1"/>
        <v>don't pay</v>
      </c>
    </row>
    <row r="22" spans="1:8" x14ac:dyDescent="0.35">
      <c r="A22" s="20" t="s">
        <v>39</v>
      </c>
      <c r="B22" s="22">
        <v>1</v>
      </c>
      <c r="C22" s="22">
        <v>0.46153846153846156</v>
      </c>
      <c r="D22" s="22">
        <v>0.94700854700854697</v>
      </c>
      <c r="E22" s="22">
        <v>0.6</v>
      </c>
      <c r="F22" s="22">
        <f>VLOOKUP(A:A,'SOS VS SOM'!A:E,4,FALSE)</f>
        <v>0</v>
      </c>
      <c r="G22" s="25">
        <f t="shared" si="0"/>
        <v>0.60170940170940179</v>
      </c>
      <c r="H22" s="15" t="str">
        <f t="shared" si="1"/>
        <v>pay</v>
      </c>
    </row>
    <row r="23" spans="1:8" x14ac:dyDescent="0.35">
      <c r="A23" s="20" t="s">
        <v>40</v>
      </c>
      <c r="B23" s="22">
        <v>0</v>
      </c>
      <c r="C23" s="22">
        <v>0.47058823529411764</v>
      </c>
      <c r="D23" s="22">
        <v>0.91880341880341876</v>
      </c>
      <c r="E23" s="22">
        <v>0.33333333333333331</v>
      </c>
      <c r="F23" s="22">
        <f>VLOOKUP(A:A,'SOS VS SOM'!A:E,4,FALSE)</f>
        <v>0</v>
      </c>
      <c r="G23" s="25">
        <f t="shared" si="0"/>
        <v>0.34454499748617395</v>
      </c>
      <c r="H23" s="15" t="str">
        <f t="shared" si="1"/>
        <v>don't pay</v>
      </c>
    </row>
    <row r="24" spans="1:8" x14ac:dyDescent="0.35">
      <c r="A24" s="20" t="s">
        <v>41</v>
      </c>
      <c r="B24" s="22">
        <v>1</v>
      </c>
      <c r="C24" s="22">
        <v>0.4</v>
      </c>
      <c r="D24" s="22">
        <v>1</v>
      </c>
      <c r="E24" s="22">
        <v>0</v>
      </c>
      <c r="F24" s="22">
        <f>VLOOKUP(A:A,'SOS VS SOM'!A:E,4,FALSE)</f>
        <v>0</v>
      </c>
      <c r="G24" s="25">
        <f t="shared" si="0"/>
        <v>0.48</v>
      </c>
      <c r="H24" s="15" t="str">
        <f t="shared" si="1"/>
        <v>don't pay</v>
      </c>
    </row>
    <row r="25" spans="1:8" x14ac:dyDescent="0.35">
      <c r="A25" s="20" t="s">
        <v>42</v>
      </c>
      <c r="B25" s="22">
        <v>1</v>
      </c>
      <c r="C25" s="22">
        <v>0.62962962962962965</v>
      </c>
      <c r="D25" s="22">
        <v>0.96363636363636362</v>
      </c>
      <c r="E25" s="22">
        <v>1</v>
      </c>
      <c r="F25" s="22">
        <f>VLOOKUP(A:A,'SOS VS SOM'!A:E,4,FALSE)</f>
        <v>0</v>
      </c>
      <c r="G25" s="25">
        <f t="shared" si="0"/>
        <v>0.71865319865319877</v>
      </c>
      <c r="H25" s="15" t="str">
        <f t="shared" si="1"/>
        <v>pay</v>
      </c>
    </row>
    <row r="26" spans="1:8" x14ac:dyDescent="0.35">
      <c r="A26" s="20" t="s">
        <v>44</v>
      </c>
      <c r="B26" s="22">
        <v>1</v>
      </c>
      <c r="C26" s="22">
        <v>1</v>
      </c>
      <c r="D26" s="22">
        <v>0.99679487179487181</v>
      </c>
      <c r="E26" s="22">
        <v>1</v>
      </c>
      <c r="F26" s="22">
        <f>VLOOKUP(A:A,'SOS VS SOM'!A:E,4,FALSE)</f>
        <v>0</v>
      </c>
      <c r="G26" s="25">
        <f t="shared" si="0"/>
        <v>0.79935897435897441</v>
      </c>
      <c r="H26" s="15" t="str">
        <f t="shared" si="1"/>
        <v>pay</v>
      </c>
    </row>
    <row r="27" spans="1:8" x14ac:dyDescent="0.35">
      <c r="A27" s="20" t="s">
        <v>45</v>
      </c>
      <c r="B27" s="22">
        <v>1</v>
      </c>
      <c r="C27" s="22">
        <v>0.75</v>
      </c>
      <c r="D27" s="22">
        <v>0.93333333333333335</v>
      </c>
      <c r="E27" s="22">
        <v>1</v>
      </c>
      <c r="F27" s="22">
        <f>VLOOKUP(A:A,'SOS VS SOM'!A:E,4,FALSE)</f>
        <v>0</v>
      </c>
      <c r="G27" s="25">
        <f t="shared" si="0"/>
        <v>0.73666666666666669</v>
      </c>
      <c r="H27" s="15" t="str">
        <f t="shared" si="1"/>
        <v>pay</v>
      </c>
    </row>
    <row r="28" spans="1:8" x14ac:dyDescent="0.35">
      <c r="A28" s="20" t="s">
        <v>46</v>
      </c>
      <c r="B28" s="22">
        <v>1</v>
      </c>
      <c r="C28" s="22">
        <v>0.86363636363636365</v>
      </c>
      <c r="D28" s="22">
        <v>0.9643962848297214</v>
      </c>
      <c r="E28" s="22">
        <v>1</v>
      </c>
      <c r="F28" s="22">
        <f>VLOOKUP(A:A,'SOS VS SOM'!A:E,4,FALSE)</f>
        <v>0</v>
      </c>
      <c r="G28" s="25">
        <f t="shared" si="0"/>
        <v>0.76560652969321707</v>
      </c>
      <c r="H28" s="15" t="str">
        <f t="shared" si="1"/>
        <v>pay</v>
      </c>
    </row>
    <row r="29" spans="1:8" x14ac:dyDescent="0.35">
      <c r="A29" s="20" t="s">
        <v>49</v>
      </c>
      <c r="B29" s="22">
        <v>1</v>
      </c>
      <c r="C29" s="22">
        <v>0.9</v>
      </c>
      <c r="D29" s="22">
        <v>1</v>
      </c>
      <c r="E29" s="22">
        <v>1</v>
      </c>
      <c r="F29" s="22">
        <f>VLOOKUP(A:A,'SOS VS SOM'!A:E,4,FALSE)</f>
        <v>0</v>
      </c>
      <c r="G29" s="25">
        <f t="shared" si="0"/>
        <v>0.78</v>
      </c>
      <c r="H29" s="15" t="str">
        <f t="shared" si="1"/>
        <v>pay</v>
      </c>
    </row>
    <row r="30" spans="1:8" x14ac:dyDescent="0.35">
      <c r="A30" s="20" t="s">
        <v>50</v>
      </c>
      <c r="B30" s="22">
        <v>1</v>
      </c>
      <c r="C30" s="22">
        <v>0.4</v>
      </c>
      <c r="D30" s="22">
        <v>1</v>
      </c>
      <c r="E30" s="22">
        <v>1</v>
      </c>
      <c r="F30" s="23">
        <v>0</v>
      </c>
      <c r="G30" s="25">
        <f t="shared" si="0"/>
        <v>0.67999999999999994</v>
      </c>
      <c r="H30" s="15" t="str">
        <f t="shared" si="1"/>
        <v>pay</v>
      </c>
    </row>
    <row r="31" spans="1:8" x14ac:dyDescent="0.35">
      <c r="A31" s="20" t="s">
        <v>51</v>
      </c>
      <c r="B31" s="22">
        <v>1</v>
      </c>
      <c r="C31" s="22">
        <v>0.64</v>
      </c>
      <c r="D31" s="22">
        <v>0.96666666666666667</v>
      </c>
      <c r="E31" s="22">
        <v>1</v>
      </c>
      <c r="F31" s="22">
        <f>VLOOKUP(A:A,'SOS VS SOM'!A:E,4,FALSE)</f>
        <v>0</v>
      </c>
      <c r="G31" s="25">
        <f t="shared" si="0"/>
        <v>0.72133333333333338</v>
      </c>
      <c r="H31" s="15" t="str">
        <f t="shared" si="1"/>
        <v>pay</v>
      </c>
    </row>
    <row r="32" spans="1:8" x14ac:dyDescent="0.35">
      <c r="A32" s="20" t="s">
        <v>52</v>
      </c>
      <c r="B32" s="22">
        <v>1</v>
      </c>
      <c r="C32" s="22">
        <v>0.4</v>
      </c>
      <c r="D32" s="22">
        <v>0.97666666666666668</v>
      </c>
      <c r="E32" s="22">
        <v>1</v>
      </c>
      <c r="F32" s="22">
        <f>VLOOKUP(A:A,'SOS VS SOM'!A:E,4,FALSE)</f>
        <v>0</v>
      </c>
      <c r="G32" s="25">
        <f t="shared" si="0"/>
        <v>0.67533333333333334</v>
      </c>
      <c r="H32" s="15" t="str">
        <f t="shared" si="1"/>
        <v>pay</v>
      </c>
    </row>
    <row r="33" spans="1:8" x14ac:dyDescent="0.35">
      <c r="A33" s="20" t="s">
        <v>53</v>
      </c>
      <c r="B33" s="22">
        <v>1</v>
      </c>
      <c r="C33" s="22">
        <v>1</v>
      </c>
      <c r="D33" s="22">
        <v>0.80476190476190479</v>
      </c>
      <c r="E33" s="22">
        <v>1</v>
      </c>
      <c r="F33" s="22">
        <f>VLOOKUP(A:A,'SOS VS SOM'!A:E,4,FALSE)</f>
        <v>0</v>
      </c>
      <c r="G33" s="25">
        <f t="shared" si="0"/>
        <v>0.76095238095238094</v>
      </c>
      <c r="H33" s="15" t="str">
        <f t="shared" si="1"/>
        <v>pay</v>
      </c>
    </row>
    <row r="34" spans="1:8" x14ac:dyDescent="0.35">
      <c r="A34" s="20" t="s">
        <v>56</v>
      </c>
      <c r="B34" s="22">
        <v>0</v>
      </c>
      <c r="C34" s="22">
        <v>0.4</v>
      </c>
      <c r="D34" s="22">
        <v>1</v>
      </c>
      <c r="E34" s="22">
        <v>1</v>
      </c>
      <c r="F34" s="22">
        <f>VLOOKUP(A:A,'SOS VS SOM'!A:E,4,FALSE)</f>
        <v>0</v>
      </c>
      <c r="G34" s="25">
        <f t="shared" si="0"/>
        <v>0.48</v>
      </c>
      <c r="H34" s="15" t="str">
        <f t="shared" si="1"/>
        <v>don't pay</v>
      </c>
    </row>
    <row r="35" spans="1:8" x14ac:dyDescent="0.35">
      <c r="A35" s="20" t="s">
        <v>58</v>
      </c>
      <c r="B35" s="22">
        <v>1</v>
      </c>
      <c r="C35" s="22">
        <v>0.55000000000000004</v>
      </c>
      <c r="D35" s="22">
        <v>1</v>
      </c>
      <c r="E35" s="22">
        <v>1</v>
      </c>
      <c r="F35" s="22">
        <f>VLOOKUP(A:A,'SOS VS SOM'!A:E,4,FALSE)</f>
        <v>0</v>
      </c>
      <c r="G35" s="25">
        <f t="shared" si="0"/>
        <v>0.71</v>
      </c>
      <c r="H35" s="15" t="str">
        <f t="shared" si="1"/>
        <v>pay</v>
      </c>
    </row>
    <row r="36" spans="1:8" x14ac:dyDescent="0.35">
      <c r="A36" s="20" t="s">
        <v>60</v>
      </c>
      <c r="B36" s="22">
        <v>1</v>
      </c>
      <c r="C36" s="22">
        <v>0.44444444444444442</v>
      </c>
      <c r="D36" s="22">
        <v>0.82380952380952377</v>
      </c>
      <c r="E36" s="22">
        <v>1</v>
      </c>
      <c r="F36" s="22">
        <f>VLOOKUP(A:A,'SOS VS SOM'!A:E,4,FALSE)</f>
        <v>0</v>
      </c>
      <c r="G36" s="25">
        <f t="shared" si="0"/>
        <v>0.65365079365079359</v>
      </c>
      <c r="H36" s="15" t="str">
        <f t="shared" si="1"/>
        <v>pay</v>
      </c>
    </row>
    <row r="37" spans="1:8" x14ac:dyDescent="0.35">
      <c r="A37" s="20" t="s">
        <v>61</v>
      </c>
      <c r="B37" s="22">
        <v>1</v>
      </c>
      <c r="C37" s="22">
        <v>1</v>
      </c>
      <c r="D37" s="22">
        <v>0.99342105263157898</v>
      </c>
      <c r="E37" s="22">
        <v>1</v>
      </c>
      <c r="F37" s="22">
        <f>VLOOKUP(A:A,'SOS VS SOM'!A:E,4,FALSE)</f>
        <v>0</v>
      </c>
      <c r="G37" s="25">
        <f t="shared" si="0"/>
        <v>0.79868421052631577</v>
      </c>
      <c r="H37" s="15" t="str">
        <f t="shared" si="1"/>
        <v>pay</v>
      </c>
    </row>
    <row r="38" spans="1:8" x14ac:dyDescent="0.35">
      <c r="A38" s="20" t="s">
        <v>62</v>
      </c>
      <c r="B38" s="22">
        <v>0</v>
      </c>
      <c r="C38" s="22">
        <v>0.88888888888888884</v>
      </c>
      <c r="D38" s="22">
        <v>1</v>
      </c>
      <c r="E38" s="22">
        <v>1</v>
      </c>
      <c r="F38" s="22">
        <f>VLOOKUP(A:A,'SOS VS SOM'!A:E,4,FALSE)</f>
        <v>0</v>
      </c>
      <c r="G38" s="25">
        <f t="shared" si="0"/>
        <v>0.57777777777777772</v>
      </c>
      <c r="H38" s="15" t="str">
        <f t="shared" si="1"/>
        <v>don't pay</v>
      </c>
    </row>
    <row r="39" spans="1:8" x14ac:dyDescent="0.35">
      <c r="A39" s="20" t="s">
        <v>63</v>
      </c>
      <c r="B39" s="22">
        <v>1</v>
      </c>
      <c r="C39" s="22">
        <v>0.6470588235294118</v>
      </c>
      <c r="D39" s="22">
        <v>0.96666666666666667</v>
      </c>
      <c r="E39" s="22">
        <v>1</v>
      </c>
      <c r="F39" s="22">
        <f>VLOOKUP(A:A,'SOS VS SOM'!A:E,4,FALSE)</f>
        <v>0</v>
      </c>
      <c r="G39" s="25">
        <f t="shared" si="0"/>
        <v>0.72274509803921572</v>
      </c>
      <c r="H39" s="15" t="str">
        <f t="shared" si="1"/>
        <v>pay</v>
      </c>
    </row>
    <row r="40" spans="1:8" x14ac:dyDescent="0.35">
      <c r="A40" s="20" t="s">
        <v>64</v>
      </c>
      <c r="B40" s="22">
        <v>1</v>
      </c>
      <c r="C40" s="22">
        <v>1</v>
      </c>
      <c r="D40" s="22">
        <v>0.99885583524027455</v>
      </c>
      <c r="E40" s="22">
        <v>1</v>
      </c>
      <c r="F40" s="22">
        <f>VLOOKUP(A:A,'SOS VS SOM'!A:E,4,FALSE)</f>
        <v>0</v>
      </c>
      <c r="G40" s="25">
        <f t="shared" si="0"/>
        <v>0.79977116704805495</v>
      </c>
      <c r="H40" s="15" t="str">
        <f t="shared" si="1"/>
        <v>pay</v>
      </c>
    </row>
    <row r="41" spans="1:8" x14ac:dyDescent="0.35">
      <c r="A41" s="20" t="s">
        <v>66</v>
      </c>
      <c r="B41" s="22">
        <v>1</v>
      </c>
      <c r="C41" s="22">
        <v>0.4</v>
      </c>
      <c r="D41" s="22">
        <v>1</v>
      </c>
      <c r="E41" s="22">
        <v>1</v>
      </c>
      <c r="F41" s="22">
        <f>VLOOKUP(A:A,'SOS VS SOM'!A:E,4,FALSE)</f>
        <v>0</v>
      </c>
      <c r="G41" s="25">
        <f t="shared" si="0"/>
        <v>0.67999999999999994</v>
      </c>
      <c r="H41" s="15" t="str">
        <f t="shared" si="1"/>
        <v>pay</v>
      </c>
    </row>
    <row r="42" spans="1:8" x14ac:dyDescent="0.35">
      <c r="A42" s="20" t="s">
        <v>67</v>
      </c>
      <c r="B42" s="22">
        <v>1</v>
      </c>
      <c r="C42" s="22">
        <v>0.4</v>
      </c>
      <c r="D42" s="22">
        <v>0.91228070175438591</v>
      </c>
      <c r="E42" s="22">
        <v>1</v>
      </c>
      <c r="F42" s="22">
        <f>VLOOKUP(A:A,'SOS VS SOM'!A:E,4,FALSE)</f>
        <v>0</v>
      </c>
      <c r="G42" s="25">
        <f t="shared" si="0"/>
        <v>0.66245614035087708</v>
      </c>
      <c r="H42" s="15" t="str">
        <f t="shared" si="1"/>
        <v>pay</v>
      </c>
    </row>
    <row r="43" spans="1:8" x14ac:dyDescent="0.35">
      <c r="A43" s="20" t="s">
        <v>68</v>
      </c>
      <c r="B43" s="22">
        <v>0</v>
      </c>
      <c r="C43" s="22">
        <v>0.45454545454545453</v>
      </c>
      <c r="D43" s="22">
        <v>0.43809523809523809</v>
      </c>
      <c r="E43" s="22">
        <v>1</v>
      </c>
      <c r="F43" s="22">
        <f>VLOOKUP(A:A,'SOS VS SOM'!A:E,4,FALSE)</f>
        <v>0</v>
      </c>
      <c r="G43" s="25">
        <f t="shared" si="0"/>
        <v>0.37852813852813855</v>
      </c>
      <c r="H43" s="15" t="str">
        <f t="shared" si="1"/>
        <v>don't pay</v>
      </c>
    </row>
    <row r="44" spans="1:8" x14ac:dyDescent="0.35">
      <c r="A44" s="20" t="s">
        <v>69</v>
      </c>
      <c r="B44" s="22">
        <v>1</v>
      </c>
      <c r="C44" s="22">
        <v>0.36363636363636365</v>
      </c>
      <c r="D44" s="22">
        <v>0.98888888888888893</v>
      </c>
      <c r="E44" s="22">
        <v>1</v>
      </c>
      <c r="F44" s="22">
        <f>VLOOKUP(A:A,'SOS VS SOM'!A:E,4,FALSE)</f>
        <v>0</v>
      </c>
      <c r="G44" s="25">
        <f t="shared" si="0"/>
        <v>0.67050505050505049</v>
      </c>
      <c r="H44" s="15" t="str">
        <f t="shared" si="1"/>
        <v>pay</v>
      </c>
    </row>
    <row r="45" spans="1:8" x14ac:dyDescent="0.35">
      <c r="A45" s="20" t="s">
        <v>70</v>
      </c>
      <c r="B45" s="22">
        <v>1</v>
      </c>
      <c r="C45" s="22">
        <v>0.86363636363636365</v>
      </c>
      <c r="D45" s="22">
        <v>1</v>
      </c>
      <c r="E45" s="22">
        <v>1</v>
      </c>
      <c r="F45" s="22">
        <f>VLOOKUP(A:A,'SOS VS SOM'!A:E,4,FALSE)</f>
        <v>0</v>
      </c>
      <c r="G45" s="25">
        <f t="shared" si="0"/>
        <v>0.77272727272727271</v>
      </c>
      <c r="H45" s="15" t="str">
        <f t="shared" si="1"/>
        <v>pay</v>
      </c>
    </row>
    <row r="46" spans="1:8" x14ac:dyDescent="0.35">
      <c r="A46" s="20" t="s">
        <v>71</v>
      </c>
      <c r="B46" s="22">
        <v>1</v>
      </c>
      <c r="C46" s="22">
        <v>1</v>
      </c>
      <c r="D46" s="22">
        <v>0.99583333333333335</v>
      </c>
      <c r="E46" s="22">
        <v>1</v>
      </c>
      <c r="F46" s="22">
        <f>VLOOKUP(A:A,'SOS VS SOM'!A:E,4,FALSE)</f>
        <v>0</v>
      </c>
      <c r="G46" s="25">
        <f t="shared" si="0"/>
        <v>0.79916666666666669</v>
      </c>
      <c r="H46" s="15" t="str">
        <f t="shared" si="1"/>
        <v>pay</v>
      </c>
    </row>
    <row r="47" spans="1:8" x14ac:dyDescent="0.35">
      <c r="A47" s="20" t="s">
        <v>72</v>
      </c>
      <c r="B47" s="22">
        <v>1</v>
      </c>
      <c r="C47" s="22">
        <v>1</v>
      </c>
      <c r="D47" s="22">
        <v>0.96666666666666667</v>
      </c>
      <c r="E47" s="22">
        <v>1</v>
      </c>
      <c r="F47" s="23">
        <v>0</v>
      </c>
      <c r="G47" s="25">
        <f t="shared" si="0"/>
        <v>0.79333333333333333</v>
      </c>
      <c r="H47" s="15" t="str">
        <f t="shared" si="1"/>
        <v>pay</v>
      </c>
    </row>
    <row r="48" spans="1:8" x14ac:dyDescent="0.35">
      <c r="A48" s="20" t="s">
        <v>73</v>
      </c>
      <c r="B48" s="22">
        <v>1</v>
      </c>
      <c r="C48" s="22">
        <v>1</v>
      </c>
      <c r="D48" s="22">
        <v>1</v>
      </c>
      <c r="E48" s="22">
        <v>1</v>
      </c>
      <c r="F48" s="22">
        <f>VLOOKUP(A:A,'SOS VS SOM'!A:E,4,FALSE)</f>
        <v>0</v>
      </c>
      <c r="G48" s="25">
        <f t="shared" si="0"/>
        <v>0.8</v>
      </c>
      <c r="H48" s="15" t="str">
        <f t="shared" si="1"/>
        <v>pay</v>
      </c>
    </row>
    <row r="49" spans="1:8" x14ac:dyDescent="0.35">
      <c r="A49" s="20" t="s">
        <v>75</v>
      </c>
      <c r="B49" s="22">
        <v>0</v>
      </c>
      <c r="C49" s="22">
        <v>1</v>
      </c>
      <c r="D49" s="22">
        <v>1</v>
      </c>
      <c r="E49" s="22">
        <v>1</v>
      </c>
      <c r="F49" s="22">
        <f>VLOOKUP(A:A,'SOS VS SOM'!A:E,4,FALSE)</f>
        <v>0</v>
      </c>
      <c r="G49" s="25">
        <f t="shared" si="0"/>
        <v>0.6</v>
      </c>
      <c r="H49" s="15" t="str">
        <f t="shared" si="1"/>
        <v>pay</v>
      </c>
    </row>
    <row r="50" spans="1:8" x14ac:dyDescent="0.35">
      <c r="A50" s="20" t="s">
        <v>76</v>
      </c>
      <c r="B50" s="22">
        <v>0</v>
      </c>
      <c r="C50" s="22">
        <v>1</v>
      </c>
      <c r="D50" s="22">
        <v>0.97235023041474655</v>
      </c>
      <c r="E50" s="22">
        <v>1</v>
      </c>
      <c r="F50" s="22">
        <f>VLOOKUP(A:A,'SOS VS SOM'!A:E,4,FALSE)</f>
        <v>0</v>
      </c>
      <c r="G50" s="25">
        <f t="shared" si="0"/>
        <v>0.59447004608294929</v>
      </c>
      <c r="H50" s="15" t="str">
        <f t="shared" si="1"/>
        <v>don't pay</v>
      </c>
    </row>
    <row r="51" spans="1:8" x14ac:dyDescent="0.35">
      <c r="A51" s="20" t="s">
        <v>77</v>
      </c>
      <c r="B51" s="22">
        <v>1</v>
      </c>
      <c r="C51" s="22">
        <v>1</v>
      </c>
      <c r="D51" s="22">
        <v>0.99108138238573018</v>
      </c>
      <c r="E51" s="22">
        <v>1</v>
      </c>
      <c r="F51" s="22">
        <f>VLOOKUP(A:A,'SOS VS SOM'!A:E,4,FALSE)</f>
        <v>0</v>
      </c>
      <c r="G51" s="25">
        <f t="shared" si="0"/>
        <v>0.79821627647714599</v>
      </c>
      <c r="H51" s="15" t="str">
        <f t="shared" si="1"/>
        <v>pay</v>
      </c>
    </row>
    <row r="52" spans="1:8" x14ac:dyDescent="0.35">
      <c r="A52" s="20" t="s">
        <v>78</v>
      </c>
      <c r="B52" s="22">
        <v>0</v>
      </c>
      <c r="C52" s="22">
        <v>1</v>
      </c>
      <c r="D52" s="22">
        <v>0.97407407407407409</v>
      </c>
      <c r="E52" s="22">
        <v>1</v>
      </c>
      <c r="F52" s="22">
        <f>VLOOKUP(A:A,'SOS VS SOM'!A:E,4,FALSE)</f>
        <v>0</v>
      </c>
      <c r="G52" s="25">
        <f t="shared" si="0"/>
        <v>0.5948148148148148</v>
      </c>
      <c r="H52" s="15" t="str">
        <f t="shared" si="1"/>
        <v>don't pay</v>
      </c>
    </row>
    <row r="53" spans="1:8" x14ac:dyDescent="0.35">
      <c r="A53" s="20" t="s">
        <v>79</v>
      </c>
      <c r="B53" s="22">
        <v>1</v>
      </c>
      <c r="C53" s="22">
        <v>1</v>
      </c>
      <c r="D53" s="22">
        <v>0.96666666666666667</v>
      </c>
      <c r="E53" s="22">
        <v>1</v>
      </c>
      <c r="F53" s="22">
        <f>VLOOKUP(A:A,'SOS VS SOM'!A:E,4,FALSE)</f>
        <v>1</v>
      </c>
      <c r="G53" s="25">
        <f t="shared" si="0"/>
        <v>0.9933333333333334</v>
      </c>
      <c r="H53" s="15" t="str">
        <f t="shared" si="1"/>
        <v>pay</v>
      </c>
    </row>
    <row r="54" spans="1:8" x14ac:dyDescent="0.35">
      <c r="A54" s="20" t="s">
        <v>80</v>
      </c>
      <c r="B54" s="22">
        <v>0</v>
      </c>
      <c r="C54" s="22">
        <v>0.59090909090909094</v>
      </c>
      <c r="D54" s="22">
        <v>1</v>
      </c>
      <c r="E54" s="22">
        <v>1</v>
      </c>
      <c r="F54" s="23">
        <v>0</v>
      </c>
      <c r="G54" s="25">
        <f t="shared" si="0"/>
        <v>0.51818181818181819</v>
      </c>
      <c r="H54" s="15" t="str">
        <f t="shared" si="1"/>
        <v>don't pay</v>
      </c>
    </row>
    <row r="55" spans="1:8" x14ac:dyDescent="0.35">
      <c r="A55" s="20" t="s">
        <v>81</v>
      </c>
      <c r="B55" s="22">
        <v>0</v>
      </c>
      <c r="C55" s="22">
        <v>0.4</v>
      </c>
      <c r="D55" s="22">
        <v>1</v>
      </c>
      <c r="E55" s="22">
        <v>1</v>
      </c>
      <c r="F55" s="22">
        <f>VLOOKUP(A:A,'SOS VS SOM'!A:E,4,FALSE)</f>
        <v>1</v>
      </c>
      <c r="G55" s="25">
        <f t="shared" si="0"/>
        <v>0.67999999999999994</v>
      </c>
      <c r="H55" s="15" t="str">
        <f t="shared" si="1"/>
        <v>pay</v>
      </c>
    </row>
    <row r="56" spans="1:8" x14ac:dyDescent="0.35">
      <c r="A56" s="20" t="s">
        <v>82</v>
      </c>
      <c r="B56" s="22">
        <v>0</v>
      </c>
      <c r="C56" s="22">
        <v>0.4</v>
      </c>
      <c r="D56" s="22">
        <v>0.98666666666666669</v>
      </c>
      <c r="E56" s="22">
        <v>1</v>
      </c>
      <c r="F56" s="22">
        <f>VLOOKUP(A:A,'SOS VS SOM'!A:E,4,FALSE)</f>
        <v>0</v>
      </c>
      <c r="G56" s="25">
        <f t="shared" si="0"/>
        <v>0.47733333333333333</v>
      </c>
      <c r="H56" s="15" t="str">
        <f t="shared" si="1"/>
        <v>don't pay</v>
      </c>
    </row>
    <row r="57" spans="1:8" x14ac:dyDescent="0.35">
      <c r="A57" s="20" t="s">
        <v>83</v>
      </c>
      <c r="B57" s="22">
        <v>0</v>
      </c>
      <c r="C57" s="22">
        <v>0.4</v>
      </c>
      <c r="D57" s="22">
        <v>1</v>
      </c>
      <c r="E57" s="22">
        <v>1</v>
      </c>
      <c r="F57" s="22">
        <f>VLOOKUP(A:A,'SOS VS SOM'!A:E,4,FALSE)</f>
        <v>0</v>
      </c>
      <c r="G57" s="25">
        <f t="shared" si="0"/>
        <v>0.48</v>
      </c>
      <c r="H57" s="15" t="str">
        <f t="shared" si="1"/>
        <v>don't pay</v>
      </c>
    </row>
    <row r="58" spans="1:8" x14ac:dyDescent="0.35">
      <c r="A58" s="20" t="s">
        <v>85</v>
      </c>
      <c r="B58" s="22">
        <v>1</v>
      </c>
      <c r="C58" s="22">
        <v>0.4</v>
      </c>
      <c r="D58" s="22">
        <v>1</v>
      </c>
      <c r="E58" s="22">
        <v>1</v>
      </c>
      <c r="F58" s="22">
        <f>VLOOKUP(A:A,'SOS VS SOM'!A:E,4,FALSE)</f>
        <v>0</v>
      </c>
      <c r="G58" s="25">
        <f t="shared" si="0"/>
        <v>0.67999999999999994</v>
      </c>
      <c r="H58" s="15" t="str">
        <f t="shared" si="1"/>
        <v>pay</v>
      </c>
    </row>
    <row r="59" spans="1:8" x14ac:dyDescent="0.35">
      <c r="A59" s="20" t="s">
        <v>86</v>
      </c>
      <c r="B59" s="22">
        <v>1</v>
      </c>
      <c r="C59" s="22">
        <v>1</v>
      </c>
      <c r="D59" s="22">
        <v>1</v>
      </c>
      <c r="E59" s="22">
        <v>1</v>
      </c>
      <c r="F59" s="22">
        <f>VLOOKUP(A:A,'SOS VS SOM'!A:E,4,FALSE)</f>
        <v>0</v>
      </c>
      <c r="G59" s="25">
        <f t="shared" si="0"/>
        <v>0.8</v>
      </c>
      <c r="H59" s="15" t="str">
        <f t="shared" si="1"/>
        <v>pay</v>
      </c>
    </row>
    <row r="60" spans="1:8" x14ac:dyDescent="0.35">
      <c r="A60" s="20" t="s">
        <v>87</v>
      </c>
      <c r="B60" s="22">
        <v>1</v>
      </c>
      <c r="C60" s="22">
        <v>1</v>
      </c>
      <c r="D60" s="22">
        <v>1</v>
      </c>
      <c r="E60" s="22">
        <v>1</v>
      </c>
      <c r="F60" s="22">
        <f>VLOOKUP(A:A,'SOS VS SOM'!A:E,4,FALSE)</f>
        <v>0</v>
      </c>
      <c r="G60" s="25">
        <f t="shared" si="0"/>
        <v>0.8</v>
      </c>
      <c r="H60" s="15" t="str">
        <f t="shared" si="1"/>
        <v>pay</v>
      </c>
    </row>
    <row r="61" spans="1:8" x14ac:dyDescent="0.35">
      <c r="A61" s="20" t="s">
        <v>88</v>
      </c>
      <c r="B61" s="22">
        <v>1</v>
      </c>
      <c r="C61" s="22">
        <v>1</v>
      </c>
      <c r="D61" s="22">
        <v>1</v>
      </c>
      <c r="E61" s="22">
        <v>1</v>
      </c>
      <c r="F61" s="22">
        <f>VLOOKUP(A:A,'SOS VS SOM'!A:E,4,FALSE)</f>
        <v>1</v>
      </c>
      <c r="G61" s="25">
        <f t="shared" si="0"/>
        <v>1</v>
      </c>
      <c r="H61" s="15" t="str">
        <f t="shared" si="1"/>
        <v>pay</v>
      </c>
    </row>
    <row r="62" spans="1:8" x14ac:dyDescent="0.35">
      <c r="A62" s="20" t="s">
        <v>91</v>
      </c>
      <c r="B62" s="22">
        <v>1</v>
      </c>
      <c r="C62" s="22">
        <v>0.85</v>
      </c>
      <c r="D62" s="22">
        <v>1</v>
      </c>
      <c r="E62" s="22">
        <v>1</v>
      </c>
      <c r="F62" s="22">
        <f>VLOOKUP(A:A,'SOS VS SOM'!A:E,4,FALSE)</f>
        <v>0</v>
      </c>
      <c r="G62" s="25">
        <f t="shared" si="0"/>
        <v>0.77</v>
      </c>
      <c r="H62" s="15" t="str">
        <f t="shared" si="1"/>
        <v>pay</v>
      </c>
    </row>
    <row r="63" spans="1:8" x14ac:dyDescent="0.35">
      <c r="A63" s="20" t="s">
        <v>92</v>
      </c>
      <c r="B63" s="22">
        <v>0</v>
      </c>
      <c r="C63" s="22">
        <v>1</v>
      </c>
      <c r="D63" s="22">
        <v>0.98888888888888893</v>
      </c>
      <c r="E63" s="22">
        <v>1</v>
      </c>
      <c r="F63" s="22">
        <f>VLOOKUP(A:A,'SOS VS SOM'!A:E,4,FALSE)</f>
        <v>1</v>
      </c>
      <c r="G63" s="25">
        <f t="shared" ref="G63:G120" si="2">AVERAGE(B63:F63)</f>
        <v>0.79777777777777781</v>
      </c>
      <c r="H63" s="15" t="str">
        <f t="shared" ref="H63:H120" si="3">IF(G63&gt;=60%,"pay","don't pay")</f>
        <v>pay</v>
      </c>
    </row>
    <row r="64" spans="1:8" x14ac:dyDescent="0.35">
      <c r="A64" s="20" t="s">
        <v>94</v>
      </c>
      <c r="B64" s="22">
        <v>1</v>
      </c>
      <c r="C64" s="22">
        <v>1</v>
      </c>
      <c r="D64" s="22">
        <v>0.93333333333333335</v>
      </c>
      <c r="E64" s="22">
        <v>1</v>
      </c>
      <c r="F64" s="22">
        <f>VLOOKUP(A:A,'SOS VS SOM'!A:E,4,FALSE)</f>
        <v>0</v>
      </c>
      <c r="G64" s="25">
        <f t="shared" si="2"/>
        <v>0.78666666666666674</v>
      </c>
      <c r="H64" s="15" t="str">
        <f t="shared" si="3"/>
        <v>pay</v>
      </c>
    </row>
    <row r="65" spans="1:8" x14ac:dyDescent="0.35">
      <c r="A65" s="20" t="s">
        <v>96</v>
      </c>
      <c r="B65" s="22">
        <v>1</v>
      </c>
      <c r="C65" s="22">
        <v>0.8</v>
      </c>
      <c r="D65" s="22">
        <v>1</v>
      </c>
      <c r="E65" s="22">
        <v>1</v>
      </c>
      <c r="F65" s="22">
        <f>VLOOKUP(A:A,'SOS VS SOM'!A:E,4,FALSE)</f>
        <v>0</v>
      </c>
      <c r="G65" s="25">
        <f t="shared" si="2"/>
        <v>0.76</v>
      </c>
      <c r="H65" s="15" t="str">
        <f t="shared" si="3"/>
        <v>pay</v>
      </c>
    </row>
    <row r="66" spans="1:8" x14ac:dyDescent="0.35">
      <c r="A66" s="20" t="s">
        <v>97</v>
      </c>
      <c r="B66" s="22">
        <v>1</v>
      </c>
      <c r="C66" s="22">
        <v>0.77777777777777779</v>
      </c>
      <c r="D66" s="22">
        <v>0.99824561403508771</v>
      </c>
      <c r="E66" s="22">
        <v>1</v>
      </c>
      <c r="F66" s="23">
        <v>0</v>
      </c>
      <c r="G66" s="25">
        <f t="shared" si="2"/>
        <v>0.75520467836257299</v>
      </c>
      <c r="H66" s="15" t="str">
        <f t="shared" si="3"/>
        <v>pay</v>
      </c>
    </row>
    <row r="67" spans="1:8" x14ac:dyDescent="0.35">
      <c r="A67" s="20" t="s">
        <v>98</v>
      </c>
      <c r="B67" s="22">
        <v>1</v>
      </c>
      <c r="C67" s="22">
        <v>0.77777777777777779</v>
      </c>
      <c r="D67" s="22">
        <v>1</v>
      </c>
      <c r="E67" s="22">
        <v>1</v>
      </c>
      <c r="F67" s="22">
        <f>VLOOKUP(A:A,'SOS VS SOM'!A:E,4,FALSE)</f>
        <v>1</v>
      </c>
      <c r="G67" s="25">
        <f t="shared" si="2"/>
        <v>0.95555555555555549</v>
      </c>
      <c r="H67" s="15" t="str">
        <f t="shared" si="3"/>
        <v>pay</v>
      </c>
    </row>
    <row r="68" spans="1:8" x14ac:dyDescent="0.35">
      <c r="A68" s="20" t="s">
        <v>99</v>
      </c>
      <c r="B68" s="22">
        <v>0</v>
      </c>
      <c r="C68" s="22">
        <v>0.4</v>
      </c>
      <c r="D68" s="22">
        <v>1</v>
      </c>
      <c r="E68" s="22">
        <v>1</v>
      </c>
      <c r="F68" s="22">
        <f>VLOOKUP(A:A,'SOS VS SOM'!A:E,4,FALSE)</f>
        <v>0</v>
      </c>
      <c r="G68" s="25">
        <f t="shared" si="2"/>
        <v>0.48</v>
      </c>
      <c r="H68" s="15" t="str">
        <f t="shared" si="3"/>
        <v>don't pay</v>
      </c>
    </row>
    <row r="69" spans="1:8" x14ac:dyDescent="0.35">
      <c r="A69" s="20" t="s">
        <v>100</v>
      </c>
      <c r="B69" s="22">
        <v>1</v>
      </c>
      <c r="C69" s="22">
        <v>1</v>
      </c>
      <c r="D69" s="22">
        <v>1</v>
      </c>
      <c r="E69" s="22">
        <v>0</v>
      </c>
      <c r="F69" s="22">
        <f>VLOOKUP(A:A,'SOS VS SOM'!A:E,4,FALSE)</f>
        <v>0</v>
      </c>
      <c r="G69" s="25">
        <f t="shared" si="2"/>
        <v>0.6</v>
      </c>
      <c r="H69" s="15" t="str">
        <f t="shared" si="3"/>
        <v>pay</v>
      </c>
    </row>
    <row r="70" spans="1:8" x14ac:dyDescent="0.35">
      <c r="A70" s="20" t="s">
        <v>101</v>
      </c>
      <c r="B70" s="22">
        <v>1</v>
      </c>
      <c r="C70" s="22">
        <v>1</v>
      </c>
      <c r="D70" s="22">
        <v>0.94358974358974357</v>
      </c>
      <c r="E70" s="22">
        <v>1</v>
      </c>
      <c r="F70" s="22">
        <f>VLOOKUP(A:A,'SOS VS SOM'!A:E,4,FALSE)</f>
        <v>0</v>
      </c>
      <c r="G70" s="25">
        <f t="shared" si="2"/>
        <v>0.78871794871794876</v>
      </c>
      <c r="H70" s="15" t="str">
        <f t="shared" si="3"/>
        <v>pay</v>
      </c>
    </row>
    <row r="71" spans="1:8" x14ac:dyDescent="0.35">
      <c r="A71" s="20" t="s">
        <v>103</v>
      </c>
      <c r="B71" s="22">
        <v>1</v>
      </c>
      <c r="C71" s="22">
        <v>0.44444444444444442</v>
      </c>
      <c r="D71" s="22">
        <v>1</v>
      </c>
      <c r="E71" s="22">
        <v>1</v>
      </c>
      <c r="F71" s="22">
        <f>VLOOKUP(A:A,'SOS VS SOM'!A:E,4,FALSE)</f>
        <v>0</v>
      </c>
      <c r="G71" s="25">
        <f t="shared" si="2"/>
        <v>0.68888888888888888</v>
      </c>
      <c r="H71" s="15" t="str">
        <f t="shared" si="3"/>
        <v>pay</v>
      </c>
    </row>
    <row r="72" spans="1:8" x14ac:dyDescent="0.35">
      <c r="A72" s="20" t="s">
        <v>104</v>
      </c>
      <c r="B72" s="22">
        <v>1</v>
      </c>
      <c r="C72" s="22">
        <v>0.4</v>
      </c>
      <c r="D72" s="22">
        <v>1</v>
      </c>
      <c r="E72" s="22">
        <v>1</v>
      </c>
      <c r="F72" s="22">
        <f>VLOOKUP(A:A,'SOS VS SOM'!A:E,4,FALSE)</f>
        <v>0</v>
      </c>
      <c r="G72" s="25">
        <f t="shared" si="2"/>
        <v>0.67999999999999994</v>
      </c>
      <c r="H72" s="15" t="str">
        <f t="shared" si="3"/>
        <v>pay</v>
      </c>
    </row>
    <row r="73" spans="1:8" x14ac:dyDescent="0.35">
      <c r="A73" s="20" t="s">
        <v>105</v>
      </c>
      <c r="B73" s="22">
        <v>0</v>
      </c>
      <c r="C73" s="22">
        <v>0.72727272727272729</v>
      </c>
      <c r="D73" s="22">
        <v>0.9458333333333333</v>
      </c>
      <c r="E73" s="22">
        <v>1</v>
      </c>
      <c r="F73" s="22">
        <f>VLOOKUP(A:A,'SOS VS SOM'!A:E,4,FALSE)</f>
        <v>0</v>
      </c>
      <c r="G73" s="25">
        <f t="shared" si="2"/>
        <v>0.53462121212121205</v>
      </c>
      <c r="H73" s="15" t="str">
        <f t="shared" si="3"/>
        <v>don't pay</v>
      </c>
    </row>
    <row r="74" spans="1:8" x14ac:dyDescent="0.35">
      <c r="A74" s="20" t="s">
        <v>106</v>
      </c>
      <c r="B74" s="22">
        <v>1</v>
      </c>
      <c r="C74" s="22">
        <v>1</v>
      </c>
      <c r="D74" s="22">
        <v>0.96666666666666667</v>
      </c>
      <c r="E74" s="22">
        <v>1</v>
      </c>
      <c r="F74" s="22">
        <f>VLOOKUP(A:A,'SOS VS SOM'!A:E,4,FALSE)</f>
        <v>0</v>
      </c>
      <c r="G74" s="25">
        <f t="shared" si="2"/>
        <v>0.79333333333333333</v>
      </c>
      <c r="H74" s="15" t="str">
        <f t="shared" si="3"/>
        <v>pay</v>
      </c>
    </row>
    <row r="75" spans="1:8" x14ac:dyDescent="0.35">
      <c r="A75" s="20" t="s">
        <v>108</v>
      </c>
      <c r="B75" s="22">
        <v>1</v>
      </c>
      <c r="C75" s="22">
        <v>0.4</v>
      </c>
      <c r="D75" s="22">
        <v>0.98120300751879697</v>
      </c>
      <c r="E75" s="22">
        <v>1</v>
      </c>
      <c r="F75" s="22">
        <f>VLOOKUP(A:A,'SOS VS SOM'!A:E,4,FALSE)</f>
        <v>0</v>
      </c>
      <c r="G75" s="25">
        <f t="shared" si="2"/>
        <v>0.67624060150375942</v>
      </c>
      <c r="H75" s="15" t="str">
        <f t="shared" si="3"/>
        <v>pay</v>
      </c>
    </row>
    <row r="76" spans="1:8" x14ac:dyDescent="0.35">
      <c r="A76" s="20" t="s">
        <v>110</v>
      </c>
      <c r="B76" s="22">
        <v>1</v>
      </c>
      <c r="C76" s="22">
        <v>0.44444444444444442</v>
      </c>
      <c r="D76" s="22">
        <v>0.96808510638297873</v>
      </c>
      <c r="E76" s="22">
        <v>1</v>
      </c>
      <c r="F76" s="22">
        <f>VLOOKUP(A:A,'SOS VS SOM'!A:E,4,FALSE)</f>
        <v>0</v>
      </c>
      <c r="G76" s="25">
        <f t="shared" si="2"/>
        <v>0.68250591016548456</v>
      </c>
      <c r="H76" s="15" t="str">
        <f t="shared" si="3"/>
        <v>pay</v>
      </c>
    </row>
    <row r="77" spans="1:8" x14ac:dyDescent="0.35">
      <c r="A77" s="20" t="s">
        <v>111</v>
      </c>
      <c r="B77" s="22">
        <v>1</v>
      </c>
      <c r="C77" s="22">
        <v>1</v>
      </c>
      <c r="D77" s="22">
        <v>0.93333333333333335</v>
      </c>
      <c r="E77" s="22">
        <v>1</v>
      </c>
      <c r="F77" s="22">
        <f>VLOOKUP(A:A,'SOS VS SOM'!A:E,4,FALSE)</f>
        <v>1</v>
      </c>
      <c r="G77" s="25">
        <f t="shared" si="2"/>
        <v>0.98666666666666669</v>
      </c>
      <c r="H77" s="15" t="str">
        <f t="shared" si="3"/>
        <v>pay</v>
      </c>
    </row>
    <row r="78" spans="1:8" x14ac:dyDescent="0.35">
      <c r="A78" s="20" t="s">
        <v>112</v>
      </c>
      <c r="B78" s="22">
        <v>1</v>
      </c>
      <c r="C78" s="22">
        <v>0.4</v>
      </c>
      <c r="D78" s="22">
        <v>0.93628808864265933</v>
      </c>
      <c r="E78" s="22">
        <v>1</v>
      </c>
      <c r="F78" s="22">
        <f>VLOOKUP(A:A,'SOS VS SOM'!A:E,4,FALSE)</f>
        <v>0</v>
      </c>
      <c r="G78" s="25">
        <f t="shared" si="2"/>
        <v>0.66725761772853187</v>
      </c>
      <c r="H78" s="15" t="str">
        <f t="shared" si="3"/>
        <v>pay</v>
      </c>
    </row>
    <row r="79" spans="1:8" x14ac:dyDescent="0.35">
      <c r="A79" s="20" t="s">
        <v>113</v>
      </c>
      <c r="B79" s="22">
        <v>1</v>
      </c>
      <c r="C79" s="22">
        <v>0.44444444444444442</v>
      </c>
      <c r="D79" s="22">
        <v>0.82777777777777772</v>
      </c>
      <c r="E79" s="22">
        <v>1</v>
      </c>
      <c r="F79" s="22">
        <f>VLOOKUP(A:A,'SOS VS SOM'!A:E,4,FALSE)</f>
        <v>0</v>
      </c>
      <c r="G79" s="25">
        <f t="shared" si="2"/>
        <v>0.65444444444444438</v>
      </c>
      <c r="H79" s="15" t="str">
        <f t="shared" si="3"/>
        <v>pay</v>
      </c>
    </row>
    <row r="80" spans="1:8" x14ac:dyDescent="0.35">
      <c r="A80" s="20" t="s">
        <v>115</v>
      </c>
      <c r="B80" s="22">
        <v>1</v>
      </c>
      <c r="C80" s="22">
        <v>1</v>
      </c>
      <c r="D80" s="22">
        <v>1</v>
      </c>
      <c r="E80" s="22">
        <v>1</v>
      </c>
      <c r="F80" s="22">
        <f>VLOOKUP(A:A,'SOS VS SOM'!A:E,4,FALSE)</f>
        <v>0</v>
      </c>
      <c r="G80" s="25">
        <f t="shared" si="2"/>
        <v>0.8</v>
      </c>
      <c r="H80" s="15" t="str">
        <f t="shared" si="3"/>
        <v>pay</v>
      </c>
    </row>
    <row r="81" spans="1:8" x14ac:dyDescent="0.35">
      <c r="A81" s="20" t="s">
        <v>116</v>
      </c>
      <c r="B81" s="22">
        <v>0</v>
      </c>
      <c r="C81" s="22">
        <v>0.9</v>
      </c>
      <c r="D81" s="22">
        <v>0.93181818181818177</v>
      </c>
      <c r="E81" s="22">
        <v>1</v>
      </c>
      <c r="F81" s="22">
        <f>VLOOKUP(A:A,'SOS VS SOM'!A:E,4,FALSE)</f>
        <v>0</v>
      </c>
      <c r="G81" s="25">
        <f t="shared" si="2"/>
        <v>0.5663636363636364</v>
      </c>
      <c r="H81" s="15" t="str">
        <f t="shared" si="3"/>
        <v>don't pay</v>
      </c>
    </row>
    <row r="82" spans="1:8" x14ac:dyDescent="0.35">
      <c r="A82" s="20" t="s">
        <v>117</v>
      </c>
      <c r="B82" s="22">
        <v>1</v>
      </c>
      <c r="C82" s="22">
        <v>0.4</v>
      </c>
      <c r="D82" s="22">
        <v>0.91212121212121211</v>
      </c>
      <c r="E82" s="22">
        <v>1</v>
      </c>
      <c r="F82" s="22">
        <f>VLOOKUP(A:A,'SOS VS SOM'!A:E,4,FALSE)</f>
        <v>0</v>
      </c>
      <c r="G82" s="25">
        <f t="shared" si="2"/>
        <v>0.66242424242424236</v>
      </c>
      <c r="H82" s="15" t="str">
        <f t="shared" si="3"/>
        <v>pay</v>
      </c>
    </row>
    <row r="83" spans="1:8" x14ac:dyDescent="0.35">
      <c r="A83" s="20" t="s">
        <v>118</v>
      </c>
      <c r="B83" s="22">
        <v>1</v>
      </c>
      <c r="C83" s="22">
        <v>0.2</v>
      </c>
      <c r="D83" s="22">
        <v>0.96666666666666667</v>
      </c>
      <c r="E83" s="22">
        <v>1</v>
      </c>
      <c r="F83" s="23">
        <v>0</v>
      </c>
      <c r="G83" s="25">
        <f t="shared" si="2"/>
        <v>0.6333333333333333</v>
      </c>
      <c r="H83" s="15" t="str">
        <f t="shared" si="3"/>
        <v>pay</v>
      </c>
    </row>
    <row r="84" spans="1:8" x14ac:dyDescent="0.35">
      <c r="A84" s="20" t="s">
        <v>120</v>
      </c>
      <c r="B84" s="22">
        <v>1</v>
      </c>
      <c r="C84" s="22">
        <v>0.4</v>
      </c>
      <c r="D84" s="22">
        <v>0.81904761904761902</v>
      </c>
      <c r="E84" s="22">
        <v>1</v>
      </c>
      <c r="F84" s="22">
        <f>VLOOKUP(A:A,'SOS VS SOM'!A:E,4,FALSE)</f>
        <v>0</v>
      </c>
      <c r="G84" s="25">
        <f t="shared" si="2"/>
        <v>0.64380952380952383</v>
      </c>
      <c r="H84" s="15" t="str">
        <f t="shared" si="3"/>
        <v>pay</v>
      </c>
    </row>
    <row r="85" spans="1:8" x14ac:dyDescent="0.35">
      <c r="A85" s="20" t="s">
        <v>121</v>
      </c>
      <c r="B85" s="22">
        <v>1</v>
      </c>
      <c r="C85" s="22">
        <v>0.6</v>
      </c>
      <c r="D85" s="22">
        <v>0.93333333333333335</v>
      </c>
      <c r="E85" s="22">
        <v>1</v>
      </c>
      <c r="F85" s="22">
        <f>VLOOKUP(A:A,'SOS VS SOM'!A:E,4,FALSE)</f>
        <v>0</v>
      </c>
      <c r="G85" s="25">
        <f t="shared" si="2"/>
        <v>0.70666666666666667</v>
      </c>
      <c r="H85" s="15" t="str">
        <f t="shared" si="3"/>
        <v>pay</v>
      </c>
    </row>
    <row r="86" spans="1:8" x14ac:dyDescent="0.35">
      <c r="A86" s="20" t="s">
        <v>122</v>
      </c>
      <c r="B86" s="22">
        <v>1</v>
      </c>
      <c r="C86" s="22">
        <v>0.4</v>
      </c>
      <c r="D86" s="22">
        <v>0.82</v>
      </c>
      <c r="E86" s="22">
        <v>1</v>
      </c>
      <c r="F86" s="22">
        <f>VLOOKUP(A:A,'SOS VS SOM'!A:E,4,FALSE)</f>
        <v>0</v>
      </c>
      <c r="G86" s="25">
        <f t="shared" si="2"/>
        <v>0.64399999999999991</v>
      </c>
      <c r="H86" s="15" t="str">
        <f t="shared" si="3"/>
        <v>pay</v>
      </c>
    </row>
    <row r="87" spans="1:8" x14ac:dyDescent="0.35">
      <c r="A87" s="20" t="s">
        <v>123</v>
      </c>
      <c r="B87" s="22">
        <v>0</v>
      </c>
      <c r="C87" s="22">
        <v>0.55555555555555558</v>
      </c>
      <c r="D87" s="22">
        <v>1</v>
      </c>
      <c r="E87" s="22">
        <v>1</v>
      </c>
      <c r="F87" s="22">
        <f>VLOOKUP(A:A,'SOS VS SOM'!A:E,4,FALSE)</f>
        <v>0</v>
      </c>
      <c r="G87" s="25">
        <f t="shared" si="2"/>
        <v>0.51111111111111107</v>
      </c>
      <c r="H87" s="15" t="str">
        <f t="shared" si="3"/>
        <v>don't pay</v>
      </c>
    </row>
    <row r="88" spans="1:8" x14ac:dyDescent="0.35">
      <c r="A88" s="20" t="s">
        <v>124</v>
      </c>
      <c r="B88" s="22">
        <v>1</v>
      </c>
      <c r="C88" s="22">
        <v>0.4</v>
      </c>
      <c r="D88" s="22">
        <v>0.99583333333333335</v>
      </c>
      <c r="E88" s="22">
        <v>1</v>
      </c>
      <c r="F88" s="23">
        <v>0</v>
      </c>
      <c r="G88" s="25">
        <f t="shared" si="2"/>
        <v>0.67916666666666659</v>
      </c>
      <c r="H88" s="15" t="str">
        <f t="shared" si="3"/>
        <v>pay</v>
      </c>
    </row>
    <row r="89" spans="1:8" x14ac:dyDescent="0.35">
      <c r="A89" s="20" t="s">
        <v>125</v>
      </c>
      <c r="B89" s="22">
        <v>0</v>
      </c>
      <c r="C89" s="22">
        <v>1</v>
      </c>
      <c r="D89" s="22">
        <v>1</v>
      </c>
      <c r="E89" s="22">
        <v>1</v>
      </c>
      <c r="F89" s="22">
        <f>VLOOKUP(A:A,'SOS VS SOM'!A:E,4,FALSE)</f>
        <v>1</v>
      </c>
      <c r="G89" s="25">
        <f t="shared" si="2"/>
        <v>0.8</v>
      </c>
      <c r="H89" s="15" t="str">
        <f t="shared" si="3"/>
        <v>pay</v>
      </c>
    </row>
    <row r="90" spans="1:8" x14ac:dyDescent="0.35">
      <c r="A90" s="20" t="s">
        <v>126</v>
      </c>
      <c r="B90" s="22">
        <v>1</v>
      </c>
      <c r="C90" s="22">
        <v>1</v>
      </c>
      <c r="D90" s="22">
        <v>0.9454976303317536</v>
      </c>
      <c r="E90" s="22">
        <v>1</v>
      </c>
      <c r="F90" s="22">
        <f>VLOOKUP(A:A,'SOS VS SOM'!A:E,4,FALSE)</f>
        <v>0</v>
      </c>
      <c r="G90" s="25">
        <f t="shared" si="2"/>
        <v>0.7890995260663507</v>
      </c>
      <c r="H90" s="15" t="str">
        <f t="shared" si="3"/>
        <v>pay</v>
      </c>
    </row>
    <row r="91" spans="1:8" x14ac:dyDescent="0.35">
      <c r="A91" s="20" t="s">
        <v>127</v>
      </c>
      <c r="B91" s="22">
        <v>1</v>
      </c>
      <c r="C91" s="22">
        <v>0.55000000000000004</v>
      </c>
      <c r="D91" s="22">
        <v>1</v>
      </c>
      <c r="E91" s="22">
        <v>1</v>
      </c>
      <c r="F91" s="22">
        <f>VLOOKUP(A:A,'SOS VS SOM'!A:E,4,FALSE)</f>
        <v>0</v>
      </c>
      <c r="G91" s="25">
        <f t="shared" si="2"/>
        <v>0.71</v>
      </c>
      <c r="H91" s="15" t="str">
        <f t="shared" si="3"/>
        <v>pay</v>
      </c>
    </row>
    <row r="92" spans="1:8" x14ac:dyDescent="0.35">
      <c r="A92" s="20" t="s">
        <v>129</v>
      </c>
      <c r="B92" s="22">
        <v>0</v>
      </c>
      <c r="C92" s="22">
        <v>1</v>
      </c>
      <c r="D92" s="22">
        <v>1</v>
      </c>
      <c r="E92" s="22">
        <v>1</v>
      </c>
      <c r="F92" s="22">
        <f>VLOOKUP(A:A,'SOS VS SOM'!A:E,4,FALSE)</f>
        <v>0</v>
      </c>
      <c r="G92" s="25">
        <f t="shared" si="2"/>
        <v>0.6</v>
      </c>
      <c r="H92" s="15" t="str">
        <f t="shared" si="3"/>
        <v>pay</v>
      </c>
    </row>
    <row r="93" spans="1:8" x14ac:dyDescent="0.35">
      <c r="A93" s="20" t="s">
        <v>131</v>
      </c>
      <c r="B93" s="22">
        <v>0</v>
      </c>
      <c r="C93" s="22">
        <v>1</v>
      </c>
      <c r="D93" s="22">
        <v>0.76111111111111107</v>
      </c>
      <c r="E93" s="22">
        <v>0.66666666666666663</v>
      </c>
      <c r="F93" s="22">
        <f>VLOOKUP(A:A,'SOS VS SOM'!A:E,4,FALSE)</f>
        <v>1</v>
      </c>
      <c r="G93" s="25">
        <f t="shared" si="2"/>
        <v>0.68555555555555547</v>
      </c>
      <c r="H93" s="15" t="str">
        <f t="shared" si="3"/>
        <v>pay</v>
      </c>
    </row>
    <row r="94" spans="1:8" x14ac:dyDescent="0.35">
      <c r="A94" s="20" t="s">
        <v>132</v>
      </c>
      <c r="B94" s="22">
        <v>0</v>
      </c>
      <c r="C94" s="22">
        <v>0.45454545454545453</v>
      </c>
      <c r="D94" s="22">
        <v>0.96333333333333337</v>
      </c>
      <c r="E94" s="22">
        <v>1</v>
      </c>
      <c r="F94" s="22">
        <f>VLOOKUP(A:A,'SOS VS SOM'!A:E,4,FALSE)</f>
        <v>0</v>
      </c>
      <c r="G94" s="25">
        <f t="shared" si="2"/>
        <v>0.4835757575757576</v>
      </c>
      <c r="H94" s="15" t="str">
        <f t="shared" si="3"/>
        <v>don't pay</v>
      </c>
    </row>
    <row r="95" spans="1:8" x14ac:dyDescent="0.35">
      <c r="A95" s="20" t="s">
        <v>133</v>
      </c>
      <c r="B95" s="22">
        <v>1</v>
      </c>
      <c r="C95" s="22">
        <v>0.55555555555555558</v>
      </c>
      <c r="D95" s="22">
        <v>0.98095238095238091</v>
      </c>
      <c r="E95" s="22">
        <v>1</v>
      </c>
      <c r="F95" s="22">
        <f>VLOOKUP(A:A,'SOS VS SOM'!A:E,4,FALSE)</f>
        <v>0</v>
      </c>
      <c r="G95" s="25">
        <f t="shared" si="2"/>
        <v>0.70730158730158732</v>
      </c>
      <c r="H95" s="15" t="str">
        <f t="shared" si="3"/>
        <v>pay</v>
      </c>
    </row>
    <row r="96" spans="1:8" x14ac:dyDescent="0.35">
      <c r="A96" s="20" t="s">
        <v>134</v>
      </c>
      <c r="B96" s="22">
        <v>1</v>
      </c>
      <c r="C96" s="22">
        <v>0.6</v>
      </c>
      <c r="D96" s="22">
        <v>0.97333333333333338</v>
      </c>
      <c r="E96" s="22">
        <v>0.5</v>
      </c>
      <c r="F96" s="23">
        <v>0</v>
      </c>
      <c r="G96" s="25">
        <f t="shared" si="2"/>
        <v>0.61466666666666669</v>
      </c>
      <c r="H96" s="15" t="str">
        <f t="shared" si="3"/>
        <v>pay</v>
      </c>
    </row>
    <row r="97" spans="1:8" x14ac:dyDescent="0.35">
      <c r="A97" s="20" t="s">
        <v>135</v>
      </c>
      <c r="B97" s="22">
        <v>1</v>
      </c>
      <c r="C97" s="22">
        <v>0.44444444444444442</v>
      </c>
      <c r="D97" s="22">
        <v>0.95185185185185184</v>
      </c>
      <c r="E97" s="22">
        <v>1</v>
      </c>
      <c r="F97" s="22">
        <f>VLOOKUP(A:A,'SOS VS SOM'!A:E,4,FALSE)</f>
        <v>0</v>
      </c>
      <c r="G97" s="25">
        <f t="shared" si="2"/>
        <v>0.67925925925925923</v>
      </c>
      <c r="H97" s="15" t="str">
        <f t="shared" si="3"/>
        <v>pay</v>
      </c>
    </row>
    <row r="98" spans="1:8" x14ac:dyDescent="0.35">
      <c r="A98" s="20" t="s">
        <v>136</v>
      </c>
      <c r="B98" s="22">
        <v>1</v>
      </c>
      <c r="C98" s="22">
        <v>0.4</v>
      </c>
      <c r="D98" s="22">
        <v>1</v>
      </c>
      <c r="E98" s="22">
        <v>1</v>
      </c>
      <c r="F98" s="22">
        <f>VLOOKUP(A:A,'SOS VS SOM'!A:E,4,FALSE)</f>
        <v>0</v>
      </c>
      <c r="G98" s="25">
        <f t="shared" si="2"/>
        <v>0.67999999999999994</v>
      </c>
      <c r="H98" s="15" t="str">
        <f t="shared" si="3"/>
        <v>pay</v>
      </c>
    </row>
    <row r="99" spans="1:8" x14ac:dyDescent="0.35">
      <c r="A99" s="20" t="s">
        <v>137</v>
      </c>
      <c r="B99" s="22">
        <v>1</v>
      </c>
      <c r="C99" s="22">
        <v>1</v>
      </c>
      <c r="D99" s="22">
        <v>1</v>
      </c>
      <c r="E99" s="22">
        <v>1</v>
      </c>
      <c r="F99" s="22">
        <f>VLOOKUP(A:A,'SOS VS SOM'!A:E,4,FALSE)</f>
        <v>1</v>
      </c>
      <c r="G99" s="25">
        <f t="shared" si="2"/>
        <v>1</v>
      </c>
      <c r="H99" s="15" t="str">
        <f t="shared" si="3"/>
        <v>pay</v>
      </c>
    </row>
    <row r="100" spans="1:8" x14ac:dyDescent="0.35">
      <c r="A100" s="20" t="s">
        <v>138</v>
      </c>
      <c r="B100" s="22">
        <v>1</v>
      </c>
      <c r="C100" s="22">
        <v>1</v>
      </c>
      <c r="D100" s="22">
        <v>1</v>
      </c>
      <c r="E100" s="22">
        <v>1</v>
      </c>
      <c r="F100" s="22">
        <f>VLOOKUP(A:A,'SOS VS SOM'!A:E,4,FALSE)</f>
        <v>0</v>
      </c>
      <c r="G100" s="25">
        <f t="shared" si="2"/>
        <v>0.8</v>
      </c>
      <c r="H100" s="15" t="str">
        <f t="shared" si="3"/>
        <v>pay</v>
      </c>
    </row>
    <row r="101" spans="1:8" x14ac:dyDescent="0.35">
      <c r="A101" s="20" t="s">
        <v>139</v>
      </c>
      <c r="B101" s="22">
        <v>1</v>
      </c>
      <c r="C101" s="22">
        <v>1</v>
      </c>
      <c r="D101" s="22">
        <v>1</v>
      </c>
      <c r="E101" s="22">
        <v>1</v>
      </c>
      <c r="F101" s="22">
        <f>VLOOKUP(A:A,'SOS VS SOM'!A:E,4,FALSE)</f>
        <v>0</v>
      </c>
      <c r="G101" s="25">
        <f t="shared" si="2"/>
        <v>0.8</v>
      </c>
      <c r="H101" s="15" t="str">
        <f t="shared" si="3"/>
        <v>pay</v>
      </c>
    </row>
    <row r="102" spans="1:8" x14ac:dyDescent="0.35">
      <c r="A102" s="20" t="s">
        <v>140</v>
      </c>
      <c r="B102" s="22">
        <v>1</v>
      </c>
      <c r="C102" s="22">
        <v>0.7</v>
      </c>
      <c r="D102" s="22">
        <v>0.96666666666666667</v>
      </c>
      <c r="E102" s="22">
        <v>1</v>
      </c>
      <c r="F102" s="22">
        <f>VLOOKUP(A:A,'SOS VS SOM'!A:E,4,FALSE)</f>
        <v>0</v>
      </c>
      <c r="G102" s="25">
        <f t="shared" si="2"/>
        <v>0.73333333333333328</v>
      </c>
      <c r="H102" s="15" t="str">
        <f t="shared" si="3"/>
        <v>pay</v>
      </c>
    </row>
    <row r="103" spans="1:8" x14ac:dyDescent="0.35">
      <c r="A103" s="20" t="s">
        <v>141</v>
      </c>
      <c r="B103" s="22">
        <v>1</v>
      </c>
      <c r="C103" s="22">
        <v>0.4</v>
      </c>
      <c r="D103" s="22">
        <v>0.81666666666666665</v>
      </c>
      <c r="E103" s="22">
        <v>1</v>
      </c>
      <c r="F103" s="22">
        <f>VLOOKUP(A:A,'SOS VS SOM'!A:E,4,FALSE)</f>
        <v>0</v>
      </c>
      <c r="G103" s="25">
        <f t="shared" si="2"/>
        <v>0.64333333333333331</v>
      </c>
      <c r="H103" s="15" t="str">
        <f t="shared" si="3"/>
        <v>pay</v>
      </c>
    </row>
    <row r="104" spans="1:8" x14ac:dyDescent="0.35">
      <c r="A104" s="20" t="s">
        <v>142</v>
      </c>
      <c r="B104" s="22">
        <v>1</v>
      </c>
      <c r="C104" s="22">
        <v>0.55000000000000004</v>
      </c>
      <c r="D104" s="22">
        <v>1</v>
      </c>
      <c r="E104" s="22">
        <v>1</v>
      </c>
      <c r="F104" s="22">
        <f>VLOOKUP(A:A,'SOS VS SOM'!A:E,4,FALSE)</f>
        <v>0</v>
      </c>
      <c r="G104" s="25">
        <f t="shared" si="2"/>
        <v>0.71</v>
      </c>
      <c r="H104" s="15" t="str">
        <f t="shared" si="3"/>
        <v>pay</v>
      </c>
    </row>
    <row r="105" spans="1:8" x14ac:dyDescent="0.35">
      <c r="A105" s="20" t="s">
        <v>143</v>
      </c>
      <c r="B105" s="22">
        <v>1</v>
      </c>
      <c r="C105" s="22">
        <v>1</v>
      </c>
      <c r="D105" s="22">
        <v>1</v>
      </c>
      <c r="E105" s="22">
        <v>1</v>
      </c>
      <c r="F105" s="22">
        <f>VLOOKUP(A:A,'SOS VS SOM'!A:E,4,FALSE)</f>
        <v>1</v>
      </c>
      <c r="G105" s="25">
        <f t="shared" si="2"/>
        <v>1</v>
      </c>
      <c r="H105" s="15" t="str">
        <f t="shared" si="3"/>
        <v>pay</v>
      </c>
    </row>
    <row r="106" spans="1:8" x14ac:dyDescent="0.35">
      <c r="A106" s="20" t="s">
        <v>144</v>
      </c>
      <c r="B106" s="22">
        <v>1</v>
      </c>
      <c r="C106" s="22">
        <v>0.44444444444444442</v>
      </c>
      <c r="D106" s="22">
        <v>0.53888888888888886</v>
      </c>
      <c r="E106" s="22">
        <v>1</v>
      </c>
      <c r="F106" s="22">
        <f>VLOOKUP(A:A,'SOS VS SOM'!A:E,4,FALSE)</f>
        <v>0</v>
      </c>
      <c r="G106" s="25">
        <f t="shared" si="2"/>
        <v>0.59666666666666668</v>
      </c>
      <c r="H106" s="15" t="str">
        <f t="shared" si="3"/>
        <v>don't pay</v>
      </c>
    </row>
    <row r="107" spans="1:8" x14ac:dyDescent="0.35">
      <c r="A107" s="20" t="s">
        <v>145</v>
      </c>
      <c r="B107" s="22">
        <v>1</v>
      </c>
      <c r="C107" s="22">
        <v>0.75</v>
      </c>
      <c r="D107" s="22">
        <v>1</v>
      </c>
      <c r="E107" s="22">
        <v>1</v>
      </c>
      <c r="F107" s="22">
        <f>VLOOKUP(A:A,'SOS VS SOM'!A:E,4,FALSE)</f>
        <v>0</v>
      </c>
      <c r="G107" s="25">
        <f t="shared" si="2"/>
        <v>0.75</v>
      </c>
      <c r="H107" s="15" t="str">
        <f t="shared" si="3"/>
        <v>pay</v>
      </c>
    </row>
    <row r="108" spans="1:8" x14ac:dyDescent="0.35">
      <c r="A108" s="20" t="s">
        <v>146</v>
      </c>
      <c r="B108" s="22">
        <v>1</v>
      </c>
      <c r="C108" s="22">
        <v>0.8</v>
      </c>
      <c r="D108" s="22">
        <v>1</v>
      </c>
      <c r="E108" s="22">
        <v>1</v>
      </c>
      <c r="F108" s="23">
        <v>0</v>
      </c>
      <c r="G108" s="25">
        <f t="shared" si="2"/>
        <v>0.76</v>
      </c>
      <c r="H108" s="15" t="str">
        <f t="shared" si="3"/>
        <v>pay</v>
      </c>
    </row>
    <row r="109" spans="1:8" x14ac:dyDescent="0.35">
      <c r="A109" s="20" t="s">
        <v>148</v>
      </c>
      <c r="B109" s="22">
        <v>1</v>
      </c>
      <c r="C109" s="22">
        <v>0.77777777777777779</v>
      </c>
      <c r="D109" s="22">
        <v>0.98148148148148151</v>
      </c>
      <c r="E109" s="22">
        <v>1</v>
      </c>
      <c r="F109" s="23">
        <v>0</v>
      </c>
      <c r="G109" s="25">
        <f t="shared" si="2"/>
        <v>0.75185185185185177</v>
      </c>
      <c r="H109" s="15" t="str">
        <f t="shared" si="3"/>
        <v>pay</v>
      </c>
    </row>
    <row r="110" spans="1:8" x14ac:dyDescent="0.35">
      <c r="A110" s="20" t="s">
        <v>149</v>
      </c>
      <c r="B110" s="22">
        <v>0</v>
      </c>
      <c r="C110" s="22">
        <v>0.6</v>
      </c>
      <c r="D110" s="22">
        <v>0.94166666666666665</v>
      </c>
      <c r="E110" s="22">
        <v>1</v>
      </c>
      <c r="F110" s="23">
        <v>0</v>
      </c>
      <c r="G110" s="25">
        <f t="shared" si="2"/>
        <v>0.5083333333333333</v>
      </c>
      <c r="H110" s="15" t="str">
        <f t="shared" si="3"/>
        <v>don't pay</v>
      </c>
    </row>
    <row r="111" spans="1:8" x14ac:dyDescent="0.35">
      <c r="A111" s="20" t="s">
        <v>150</v>
      </c>
      <c r="B111" s="22">
        <v>1</v>
      </c>
      <c r="C111" s="22">
        <v>1</v>
      </c>
      <c r="D111" s="22">
        <v>0.94912280701754381</v>
      </c>
      <c r="E111" s="22">
        <v>1</v>
      </c>
      <c r="F111" s="22">
        <f>VLOOKUP(A:A,'SOS VS SOM'!A:E,4,FALSE)</f>
        <v>1</v>
      </c>
      <c r="G111" s="25">
        <f t="shared" si="2"/>
        <v>0.98982456140350872</v>
      </c>
      <c r="H111" s="15" t="str">
        <f t="shared" si="3"/>
        <v>pay</v>
      </c>
    </row>
    <row r="112" spans="1:8" x14ac:dyDescent="0.35">
      <c r="A112" s="20" t="s">
        <v>151</v>
      </c>
      <c r="B112" s="22">
        <v>0</v>
      </c>
      <c r="C112" s="22">
        <v>1</v>
      </c>
      <c r="D112" s="22">
        <v>0.94736842105263153</v>
      </c>
      <c r="E112" s="22">
        <v>1</v>
      </c>
      <c r="F112" s="22">
        <f>VLOOKUP(A:A,'SOS VS SOM'!A:E,4,FALSE)</f>
        <v>0</v>
      </c>
      <c r="G112" s="25">
        <f t="shared" si="2"/>
        <v>0.58947368421052626</v>
      </c>
      <c r="H112" s="15" t="str">
        <f t="shared" si="3"/>
        <v>don't pay</v>
      </c>
    </row>
    <row r="113" spans="1:8" x14ac:dyDescent="0.35">
      <c r="A113" s="20" t="s">
        <v>152</v>
      </c>
      <c r="B113" s="22">
        <v>0</v>
      </c>
      <c r="C113" s="22">
        <v>0</v>
      </c>
      <c r="D113" s="22">
        <v>0.97857142857142854</v>
      </c>
      <c r="E113" s="22">
        <v>0</v>
      </c>
      <c r="F113" s="22">
        <f>VLOOKUP(A:A,'SOS VS SOM'!A:E,4,FALSE)</f>
        <v>0</v>
      </c>
      <c r="G113" s="25">
        <f t="shared" si="2"/>
        <v>0.1957142857142857</v>
      </c>
      <c r="H113" s="15" t="str">
        <f t="shared" si="3"/>
        <v>don't pay</v>
      </c>
    </row>
    <row r="114" spans="1:8" x14ac:dyDescent="0.35">
      <c r="A114" s="20" t="s">
        <v>153</v>
      </c>
      <c r="B114" s="22">
        <v>0</v>
      </c>
      <c r="C114" s="22">
        <v>0.7</v>
      </c>
      <c r="D114" s="22">
        <v>1</v>
      </c>
      <c r="E114" s="22">
        <v>1</v>
      </c>
      <c r="F114" s="22">
        <f>VLOOKUP(A:A,'SOS VS SOM'!A:E,4,FALSE)</f>
        <v>0</v>
      </c>
      <c r="G114" s="25">
        <f t="shared" si="2"/>
        <v>0.54</v>
      </c>
      <c r="H114" s="15" t="str">
        <f t="shared" si="3"/>
        <v>don't pay</v>
      </c>
    </row>
    <row r="115" spans="1:8" x14ac:dyDescent="0.35">
      <c r="A115" s="20" t="s">
        <v>154</v>
      </c>
      <c r="B115" s="22">
        <v>0</v>
      </c>
      <c r="C115" s="22">
        <v>0.44444444444444442</v>
      </c>
      <c r="D115" s="22">
        <v>0.92307692307692313</v>
      </c>
      <c r="E115" s="22">
        <v>1</v>
      </c>
      <c r="F115" s="22">
        <f>VLOOKUP(A:A,'SOS VS SOM'!A:E,4,FALSE)</f>
        <v>0</v>
      </c>
      <c r="G115" s="25">
        <f t="shared" si="2"/>
        <v>0.47350427350427349</v>
      </c>
      <c r="H115" s="15" t="str">
        <f t="shared" si="3"/>
        <v>don't pay</v>
      </c>
    </row>
    <row r="116" spans="1:8" x14ac:dyDescent="0.35">
      <c r="A116" s="20" t="s">
        <v>156</v>
      </c>
      <c r="B116" s="22">
        <v>0</v>
      </c>
      <c r="C116" s="22">
        <v>0.4</v>
      </c>
      <c r="D116" s="22">
        <v>0.92307692307692313</v>
      </c>
      <c r="E116" s="22">
        <v>1</v>
      </c>
      <c r="F116" s="22">
        <f>VLOOKUP(A:A,'SOS VS SOM'!A:E,4,FALSE)</f>
        <v>0</v>
      </c>
      <c r="G116" s="25">
        <f t="shared" si="2"/>
        <v>0.46461538461538465</v>
      </c>
      <c r="H116" s="15" t="str">
        <f t="shared" si="3"/>
        <v>don't pay</v>
      </c>
    </row>
    <row r="117" spans="1:8" x14ac:dyDescent="0.35">
      <c r="A117" s="20" t="s">
        <v>157</v>
      </c>
      <c r="B117" s="22">
        <v>0</v>
      </c>
      <c r="C117" s="22">
        <v>0.44444444444444442</v>
      </c>
      <c r="D117" s="22">
        <v>0.92601726263871764</v>
      </c>
      <c r="E117" s="22">
        <v>1</v>
      </c>
      <c r="F117" s="22">
        <f>VLOOKUP(A:A,'SOS VS SOM'!A:E,4,FALSE)</f>
        <v>0</v>
      </c>
      <c r="G117" s="25">
        <f t="shared" si="2"/>
        <v>0.47409234141663237</v>
      </c>
      <c r="H117" s="15" t="str">
        <f t="shared" si="3"/>
        <v>don't pay</v>
      </c>
    </row>
    <row r="118" spans="1:8" x14ac:dyDescent="0.35">
      <c r="A118" s="20" t="s">
        <v>158</v>
      </c>
      <c r="B118" s="22">
        <v>0</v>
      </c>
      <c r="C118" s="22">
        <v>0.4</v>
      </c>
      <c r="D118" s="22">
        <v>0.8571428571428571</v>
      </c>
      <c r="E118" s="22">
        <v>1</v>
      </c>
      <c r="F118" s="22">
        <f>VLOOKUP(A:A,'SOS VS SOM'!A:E,4,FALSE)</f>
        <v>0</v>
      </c>
      <c r="G118" s="25">
        <f t="shared" si="2"/>
        <v>0.4514285714285714</v>
      </c>
      <c r="H118" s="15" t="str">
        <f t="shared" si="3"/>
        <v>don't pay</v>
      </c>
    </row>
    <row r="119" spans="1:8" x14ac:dyDescent="0.35">
      <c r="A119" s="20" t="s">
        <v>160</v>
      </c>
      <c r="B119" s="22">
        <v>1</v>
      </c>
      <c r="C119" s="22">
        <v>0.4</v>
      </c>
      <c r="D119" s="22">
        <v>0.87435897435897436</v>
      </c>
      <c r="E119" s="22">
        <v>1</v>
      </c>
      <c r="F119" s="22">
        <f>VLOOKUP(A:A,'SOS VS SOM'!A:E,4,FALSE)</f>
        <v>1</v>
      </c>
      <c r="G119" s="25">
        <f t="shared" si="2"/>
        <v>0.85487179487179488</v>
      </c>
      <c r="H119" s="15" t="str">
        <f t="shared" si="3"/>
        <v>pay</v>
      </c>
    </row>
    <row r="120" spans="1:8" x14ac:dyDescent="0.35">
      <c r="A120" s="20" t="s">
        <v>161</v>
      </c>
      <c r="B120" s="22">
        <v>1</v>
      </c>
      <c r="C120" s="22">
        <v>0.88888888888888884</v>
      </c>
      <c r="D120" s="22">
        <v>1</v>
      </c>
      <c r="E120" s="22">
        <v>1</v>
      </c>
      <c r="F120" s="22">
        <f>VLOOKUP(A:A,'SOS VS SOM'!A:E,4,FALSE)</f>
        <v>1</v>
      </c>
      <c r="G120" s="25">
        <f t="shared" si="2"/>
        <v>0.97777777777777786</v>
      </c>
      <c r="H120" s="15" t="str">
        <f t="shared" si="3"/>
        <v>pay</v>
      </c>
    </row>
    <row r="121" spans="1:8" x14ac:dyDescent="0.35">
      <c r="A121" s="20" t="s">
        <v>162</v>
      </c>
      <c r="B121" s="22">
        <v>1</v>
      </c>
      <c r="C121" s="22">
        <v>0.66666666666666663</v>
      </c>
      <c r="D121" s="22">
        <v>1</v>
      </c>
      <c r="E121" s="22">
        <v>1</v>
      </c>
      <c r="F121" s="22">
        <f>VLOOKUP(A:A,'SOS VS SOM'!A:E,4,FALSE)</f>
        <v>0</v>
      </c>
      <c r="G121" s="25">
        <f t="shared" ref="G121:G153" si="4">AVERAGE(B121:F121)</f>
        <v>0.73333333333333328</v>
      </c>
      <c r="H121" s="15" t="str">
        <f t="shared" ref="H121:H153" si="5">IF(G121&gt;=60%,"pay","don't pay")</f>
        <v>pay</v>
      </c>
    </row>
    <row r="122" spans="1:8" x14ac:dyDescent="0.35">
      <c r="A122" s="20" t="s">
        <v>163</v>
      </c>
      <c r="B122" s="22">
        <v>1</v>
      </c>
      <c r="C122" s="22">
        <v>1</v>
      </c>
      <c r="D122" s="22">
        <v>1</v>
      </c>
      <c r="E122" s="22">
        <v>1</v>
      </c>
      <c r="F122" s="22">
        <f>VLOOKUP(A:A,'SOS VS SOM'!A:E,4,FALSE)</f>
        <v>0</v>
      </c>
      <c r="G122" s="25">
        <f t="shared" si="4"/>
        <v>0.8</v>
      </c>
      <c r="H122" s="15" t="str">
        <f t="shared" si="5"/>
        <v>pay</v>
      </c>
    </row>
    <row r="123" spans="1:8" x14ac:dyDescent="0.35">
      <c r="A123" s="20" t="s">
        <v>164</v>
      </c>
      <c r="B123" s="22">
        <v>1</v>
      </c>
      <c r="C123" s="22">
        <v>0.4</v>
      </c>
      <c r="D123" s="22">
        <v>0.8571428571428571</v>
      </c>
      <c r="E123" s="22">
        <v>1</v>
      </c>
      <c r="F123" s="22">
        <f>VLOOKUP(A:A,'SOS VS SOM'!A:E,4,FALSE)</f>
        <v>0</v>
      </c>
      <c r="G123" s="25">
        <f t="shared" si="4"/>
        <v>0.65142857142857147</v>
      </c>
      <c r="H123" s="15" t="str">
        <f t="shared" si="5"/>
        <v>pay</v>
      </c>
    </row>
    <row r="124" spans="1:8" x14ac:dyDescent="0.35">
      <c r="A124" s="20" t="s">
        <v>165</v>
      </c>
      <c r="B124" s="22">
        <v>0</v>
      </c>
      <c r="C124" s="22">
        <v>0.44444444444444442</v>
      </c>
      <c r="D124" s="22">
        <v>0.96499999999999997</v>
      </c>
      <c r="E124" s="22">
        <v>1</v>
      </c>
      <c r="F124" s="22">
        <f>VLOOKUP(A:A,'SOS VS SOM'!A:E,4,FALSE)</f>
        <v>0</v>
      </c>
      <c r="G124" s="25">
        <f t="shared" si="4"/>
        <v>0.48188888888888892</v>
      </c>
      <c r="H124" s="15" t="str">
        <f t="shared" si="5"/>
        <v>don't pay</v>
      </c>
    </row>
    <row r="125" spans="1:8" x14ac:dyDescent="0.35">
      <c r="A125" s="20" t="s">
        <v>166</v>
      </c>
      <c r="B125" s="22">
        <v>0</v>
      </c>
      <c r="C125" s="22">
        <v>0.8</v>
      </c>
      <c r="D125" s="22">
        <v>0.98364008179959095</v>
      </c>
      <c r="E125" s="22">
        <v>1</v>
      </c>
      <c r="F125" s="22">
        <f>VLOOKUP(A:A,'SOS VS SOM'!A:E,4,FALSE)</f>
        <v>0</v>
      </c>
      <c r="G125" s="25">
        <f t="shared" si="4"/>
        <v>0.5567280163599182</v>
      </c>
      <c r="H125" s="15" t="str">
        <f t="shared" si="5"/>
        <v>don't pay</v>
      </c>
    </row>
    <row r="126" spans="1:8" x14ac:dyDescent="0.35">
      <c r="A126" s="20" t="s">
        <v>167</v>
      </c>
      <c r="B126" s="22">
        <v>1</v>
      </c>
      <c r="C126" s="22">
        <v>0.55555555555555558</v>
      </c>
      <c r="D126" s="22">
        <v>0.93867924528301883</v>
      </c>
      <c r="E126" s="22">
        <v>1</v>
      </c>
      <c r="F126" s="22">
        <f>VLOOKUP(A:A,'SOS VS SOM'!A:E,4,FALSE)</f>
        <v>0</v>
      </c>
      <c r="G126" s="25">
        <f t="shared" si="4"/>
        <v>0.69884696016771497</v>
      </c>
      <c r="H126" s="15" t="str">
        <f t="shared" si="5"/>
        <v>pay</v>
      </c>
    </row>
    <row r="127" spans="1:8" x14ac:dyDescent="0.35">
      <c r="A127" s="20" t="s">
        <v>168</v>
      </c>
      <c r="B127" s="22">
        <v>1</v>
      </c>
      <c r="C127" s="22">
        <v>0.8</v>
      </c>
      <c r="D127" s="22">
        <v>0.9939393939393939</v>
      </c>
      <c r="E127" s="22">
        <v>1</v>
      </c>
      <c r="F127" s="22">
        <f>VLOOKUP(A:A,'SOS VS SOM'!A:E,4,FALSE)</f>
        <v>0</v>
      </c>
      <c r="G127" s="25">
        <f t="shared" si="4"/>
        <v>0.75878787878787879</v>
      </c>
      <c r="H127" s="15" t="str">
        <f t="shared" si="5"/>
        <v>pay</v>
      </c>
    </row>
    <row r="128" spans="1:8" x14ac:dyDescent="0.35">
      <c r="A128" s="20" t="s">
        <v>169</v>
      </c>
      <c r="B128" s="22">
        <v>1</v>
      </c>
      <c r="C128" s="22">
        <v>0.81818181818181823</v>
      </c>
      <c r="D128" s="22">
        <v>1</v>
      </c>
      <c r="E128" s="22">
        <v>1</v>
      </c>
      <c r="F128" s="22">
        <f>VLOOKUP(A:A,'SOS VS SOM'!A:E,4,FALSE)</f>
        <v>1</v>
      </c>
      <c r="G128" s="25">
        <f t="shared" si="4"/>
        <v>0.96363636363636362</v>
      </c>
      <c r="H128" s="15" t="str">
        <f t="shared" si="5"/>
        <v>pay</v>
      </c>
    </row>
    <row r="129" spans="1:8" x14ac:dyDescent="0.35">
      <c r="A129" s="20" t="s">
        <v>170</v>
      </c>
      <c r="B129" s="22">
        <v>1</v>
      </c>
      <c r="C129" s="22">
        <v>0.6</v>
      </c>
      <c r="D129" s="22">
        <v>0.76666666666666672</v>
      </c>
      <c r="E129" s="22">
        <v>1</v>
      </c>
      <c r="F129" s="22">
        <f>VLOOKUP(A:A,'SOS VS SOM'!A:E,4,FALSE)</f>
        <v>0</v>
      </c>
      <c r="G129" s="25">
        <f t="shared" si="4"/>
        <v>0.67333333333333334</v>
      </c>
      <c r="H129" s="15" t="str">
        <f t="shared" si="5"/>
        <v>pay</v>
      </c>
    </row>
    <row r="130" spans="1:8" x14ac:dyDescent="0.35">
      <c r="A130" s="20" t="s">
        <v>171</v>
      </c>
      <c r="B130" s="22">
        <v>1</v>
      </c>
      <c r="C130" s="22">
        <v>1</v>
      </c>
      <c r="D130" s="22">
        <v>1</v>
      </c>
      <c r="E130" s="22">
        <v>1</v>
      </c>
      <c r="F130" s="22">
        <f>VLOOKUP(A:A,'SOS VS SOM'!A:E,4,FALSE)</f>
        <v>1</v>
      </c>
      <c r="G130" s="25">
        <f t="shared" si="4"/>
        <v>1</v>
      </c>
      <c r="H130" s="15" t="str">
        <f t="shared" si="5"/>
        <v>pay</v>
      </c>
    </row>
    <row r="131" spans="1:8" x14ac:dyDescent="0.35">
      <c r="A131" s="20" t="s">
        <v>172</v>
      </c>
      <c r="B131" s="22">
        <v>1</v>
      </c>
      <c r="C131" s="22">
        <v>0.6</v>
      </c>
      <c r="D131" s="22">
        <v>1</v>
      </c>
      <c r="E131" s="22">
        <v>1</v>
      </c>
      <c r="F131" s="22">
        <f>VLOOKUP(A:A,'SOS VS SOM'!A:E,4,FALSE)</f>
        <v>0</v>
      </c>
      <c r="G131" s="25">
        <f t="shared" si="4"/>
        <v>0.72</v>
      </c>
      <c r="H131" s="15" t="str">
        <f t="shared" si="5"/>
        <v>pay</v>
      </c>
    </row>
    <row r="132" spans="1:8" x14ac:dyDescent="0.35">
      <c r="A132" s="20" t="s">
        <v>173</v>
      </c>
      <c r="B132" s="22">
        <v>1</v>
      </c>
      <c r="C132" s="22">
        <v>1</v>
      </c>
      <c r="D132" s="22">
        <v>0.97272727272727277</v>
      </c>
      <c r="E132" s="22">
        <v>1</v>
      </c>
      <c r="F132" s="22">
        <f>VLOOKUP(A:A,'SOS VS SOM'!A:E,4,FALSE)</f>
        <v>0</v>
      </c>
      <c r="G132" s="25">
        <f t="shared" si="4"/>
        <v>0.79454545454545455</v>
      </c>
      <c r="H132" s="15" t="str">
        <f t="shared" si="5"/>
        <v>pay</v>
      </c>
    </row>
    <row r="133" spans="1:8" x14ac:dyDescent="0.35">
      <c r="A133" s="20" t="s">
        <v>174</v>
      </c>
      <c r="B133" s="22">
        <v>1</v>
      </c>
      <c r="C133" s="22">
        <v>0.5</v>
      </c>
      <c r="D133" s="22">
        <v>0.96666666666666667</v>
      </c>
      <c r="E133" s="22">
        <v>1</v>
      </c>
      <c r="F133" s="22">
        <f>VLOOKUP(A:A,'SOS VS SOM'!A:E,4,FALSE)</f>
        <v>0</v>
      </c>
      <c r="G133" s="25">
        <f t="shared" si="4"/>
        <v>0.69333333333333336</v>
      </c>
      <c r="H133" s="15" t="str">
        <f t="shared" si="5"/>
        <v>pay</v>
      </c>
    </row>
    <row r="134" spans="1:8" x14ac:dyDescent="0.35">
      <c r="A134" s="20" t="s">
        <v>175</v>
      </c>
      <c r="B134" s="22">
        <v>1</v>
      </c>
      <c r="C134" s="22">
        <v>1</v>
      </c>
      <c r="D134" s="22">
        <v>0.99735449735449733</v>
      </c>
      <c r="E134" s="22">
        <v>1</v>
      </c>
      <c r="F134" s="22">
        <f>VLOOKUP(A:A,'SOS VS SOM'!A:E,4,FALSE)</f>
        <v>0</v>
      </c>
      <c r="G134" s="25">
        <f t="shared" si="4"/>
        <v>0.79947089947089944</v>
      </c>
      <c r="H134" s="15" t="str">
        <f t="shared" si="5"/>
        <v>pay</v>
      </c>
    </row>
    <row r="135" spans="1:8" x14ac:dyDescent="0.35">
      <c r="A135" s="20" t="s">
        <v>176</v>
      </c>
      <c r="B135" s="22">
        <v>1</v>
      </c>
      <c r="C135" s="22">
        <v>0.4</v>
      </c>
      <c r="D135" s="22">
        <v>0.96666666666666667</v>
      </c>
      <c r="E135" s="22">
        <v>1</v>
      </c>
      <c r="F135" s="22">
        <f>VLOOKUP(A:A,'SOS VS SOM'!A:E,4,FALSE)</f>
        <v>0</v>
      </c>
      <c r="G135" s="25">
        <f t="shared" si="4"/>
        <v>0.67333333333333334</v>
      </c>
      <c r="H135" s="15" t="str">
        <f t="shared" si="5"/>
        <v>pay</v>
      </c>
    </row>
    <row r="136" spans="1:8" x14ac:dyDescent="0.35">
      <c r="A136" s="20" t="s">
        <v>177</v>
      </c>
      <c r="B136" s="22">
        <v>0</v>
      </c>
      <c r="C136" s="22">
        <v>0.4</v>
      </c>
      <c r="D136" s="22">
        <v>0.97142857142857142</v>
      </c>
      <c r="E136" s="22">
        <v>1</v>
      </c>
      <c r="F136" s="22">
        <f>VLOOKUP(A:A,'SOS VS SOM'!A:E,4,FALSE)</f>
        <v>1</v>
      </c>
      <c r="G136" s="25">
        <f t="shared" si="4"/>
        <v>0.67428571428571427</v>
      </c>
      <c r="H136" s="15" t="str">
        <f t="shared" si="5"/>
        <v>pay</v>
      </c>
    </row>
    <row r="137" spans="1:8" x14ac:dyDescent="0.35">
      <c r="A137" s="20" t="s">
        <v>178</v>
      </c>
      <c r="B137" s="22">
        <v>0</v>
      </c>
      <c r="C137" s="22">
        <v>1</v>
      </c>
      <c r="D137" s="22">
        <v>0.96666666666666667</v>
      </c>
      <c r="E137" s="22">
        <v>1</v>
      </c>
      <c r="F137" s="22">
        <f>VLOOKUP(A:A,'SOS VS SOM'!A:E,4,FALSE)</f>
        <v>1</v>
      </c>
      <c r="G137" s="25">
        <f t="shared" si="4"/>
        <v>0.79333333333333333</v>
      </c>
      <c r="H137" s="15" t="str">
        <f t="shared" si="5"/>
        <v>pay</v>
      </c>
    </row>
    <row r="138" spans="1:8" x14ac:dyDescent="0.35">
      <c r="A138" s="20" t="s">
        <v>179</v>
      </c>
      <c r="B138" s="22">
        <v>1</v>
      </c>
      <c r="C138" s="22">
        <v>1</v>
      </c>
      <c r="D138" s="22">
        <v>0.99436090225563911</v>
      </c>
      <c r="E138" s="22">
        <v>1</v>
      </c>
      <c r="F138" s="22">
        <f>VLOOKUP(A:A,'SOS VS SOM'!A:E,4,FALSE)</f>
        <v>1</v>
      </c>
      <c r="G138" s="25">
        <f t="shared" si="4"/>
        <v>0.99887218045112791</v>
      </c>
      <c r="H138" s="15" t="str">
        <f t="shared" si="5"/>
        <v>pay</v>
      </c>
    </row>
    <row r="139" spans="1:8" x14ac:dyDescent="0.35">
      <c r="A139" s="20" t="s">
        <v>180</v>
      </c>
      <c r="B139" s="22">
        <v>1</v>
      </c>
      <c r="C139" s="22">
        <v>1</v>
      </c>
      <c r="D139" s="22">
        <v>1</v>
      </c>
      <c r="E139" s="22">
        <v>0.8</v>
      </c>
      <c r="F139" s="22">
        <v>0</v>
      </c>
      <c r="G139" s="25">
        <f t="shared" si="4"/>
        <v>0.76</v>
      </c>
      <c r="H139" s="15" t="str">
        <f t="shared" si="5"/>
        <v>pay</v>
      </c>
    </row>
    <row r="140" spans="1:8" x14ac:dyDescent="0.35">
      <c r="A140" s="20" t="s">
        <v>181</v>
      </c>
      <c r="B140" s="22">
        <v>1</v>
      </c>
      <c r="C140" s="22">
        <v>1</v>
      </c>
      <c r="D140" s="22">
        <v>0.98681318681318686</v>
      </c>
      <c r="E140" s="22">
        <v>1</v>
      </c>
      <c r="F140" s="22">
        <f>VLOOKUP(A:A,'SOS VS SOM'!A:E,4,FALSE)</f>
        <v>0</v>
      </c>
      <c r="G140" s="25">
        <f t="shared" si="4"/>
        <v>0.79736263736263735</v>
      </c>
      <c r="H140" s="15" t="str">
        <f t="shared" si="5"/>
        <v>pay</v>
      </c>
    </row>
    <row r="141" spans="1:8" x14ac:dyDescent="0.35">
      <c r="A141" s="20" t="s">
        <v>182</v>
      </c>
      <c r="B141" s="22">
        <v>0</v>
      </c>
      <c r="C141" s="22">
        <v>1</v>
      </c>
      <c r="D141" s="22">
        <v>1</v>
      </c>
      <c r="E141" s="22">
        <v>1</v>
      </c>
      <c r="F141" s="22">
        <f>VLOOKUP(A:A,'SOS VS SOM'!A:E,4,FALSE)</f>
        <v>0</v>
      </c>
      <c r="G141" s="25">
        <f t="shared" si="4"/>
        <v>0.6</v>
      </c>
      <c r="H141" s="15" t="str">
        <f t="shared" si="5"/>
        <v>pay</v>
      </c>
    </row>
    <row r="142" spans="1:8" x14ac:dyDescent="0.35">
      <c r="A142" s="20" t="s">
        <v>183</v>
      </c>
      <c r="B142" s="22">
        <v>1</v>
      </c>
      <c r="C142" s="22">
        <v>0.4</v>
      </c>
      <c r="D142" s="22">
        <v>0.82777777777777772</v>
      </c>
      <c r="E142" s="22">
        <v>1</v>
      </c>
      <c r="F142" s="23">
        <v>0</v>
      </c>
      <c r="G142" s="25">
        <f t="shared" si="4"/>
        <v>0.64555555555555555</v>
      </c>
      <c r="H142" s="15" t="str">
        <f t="shared" si="5"/>
        <v>pay</v>
      </c>
    </row>
    <row r="143" spans="1:8" x14ac:dyDescent="0.35">
      <c r="A143" s="20" t="s">
        <v>184</v>
      </c>
      <c r="B143" s="22">
        <v>1</v>
      </c>
      <c r="C143" s="22">
        <v>1</v>
      </c>
      <c r="D143" s="22">
        <v>0.9458333333333333</v>
      </c>
      <c r="E143" s="22">
        <v>1</v>
      </c>
      <c r="F143" s="22">
        <f>VLOOKUP(A:A,'SOS VS SOM'!A:E,4,FALSE)</f>
        <v>0</v>
      </c>
      <c r="G143" s="25">
        <f t="shared" si="4"/>
        <v>0.78916666666666668</v>
      </c>
      <c r="H143" s="15" t="str">
        <f t="shared" si="5"/>
        <v>pay</v>
      </c>
    </row>
    <row r="144" spans="1:8" x14ac:dyDescent="0.35">
      <c r="A144" s="20" t="s">
        <v>185</v>
      </c>
      <c r="B144" s="22">
        <v>1</v>
      </c>
      <c r="C144" s="22">
        <v>1</v>
      </c>
      <c r="D144" s="22">
        <v>0.93333333333333335</v>
      </c>
      <c r="E144" s="22">
        <v>1</v>
      </c>
      <c r="F144" s="22">
        <f>VLOOKUP(A:A,'SOS VS SOM'!A:E,4,FALSE)</f>
        <v>0</v>
      </c>
      <c r="G144" s="25">
        <f t="shared" si="4"/>
        <v>0.78666666666666674</v>
      </c>
      <c r="H144" s="15" t="str">
        <f t="shared" si="5"/>
        <v>pay</v>
      </c>
    </row>
    <row r="145" spans="1:8" x14ac:dyDescent="0.35">
      <c r="A145" s="20" t="s">
        <v>186</v>
      </c>
      <c r="B145" s="22">
        <v>1</v>
      </c>
      <c r="C145" s="22">
        <v>0.66666666666666663</v>
      </c>
      <c r="D145" s="22">
        <v>0.92777777777777781</v>
      </c>
      <c r="E145" s="22">
        <v>1</v>
      </c>
      <c r="F145" s="22">
        <f>VLOOKUP(A:A,'SOS VS SOM'!A:E,4,FALSE)</f>
        <v>0</v>
      </c>
      <c r="G145" s="25">
        <f t="shared" si="4"/>
        <v>0.7188888888888888</v>
      </c>
      <c r="H145" s="15" t="str">
        <f t="shared" si="5"/>
        <v>pay</v>
      </c>
    </row>
    <row r="146" spans="1:8" x14ac:dyDescent="0.35">
      <c r="A146" s="20" t="s">
        <v>187</v>
      </c>
      <c r="B146" s="22">
        <v>1</v>
      </c>
      <c r="C146" s="22">
        <v>0.4</v>
      </c>
      <c r="D146" s="22">
        <v>1</v>
      </c>
      <c r="E146" s="22">
        <v>1</v>
      </c>
      <c r="F146" s="23">
        <v>0</v>
      </c>
      <c r="G146" s="25">
        <f t="shared" si="4"/>
        <v>0.67999999999999994</v>
      </c>
      <c r="H146" s="15" t="str">
        <f t="shared" si="5"/>
        <v>pay</v>
      </c>
    </row>
    <row r="147" spans="1:8" x14ac:dyDescent="0.35">
      <c r="A147" s="20" t="s">
        <v>188</v>
      </c>
      <c r="B147" s="22">
        <v>1</v>
      </c>
      <c r="C147" s="22">
        <v>0.6</v>
      </c>
      <c r="D147" s="22">
        <v>1</v>
      </c>
      <c r="E147" s="22">
        <v>1</v>
      </c>
      <c r="F147" s="22">
        <f>VLOOKUP(A:A,'SOS VS SOM'!A:E,4,FALSE)</f>
        <v>0</v>
      </c>
      <c r="G147" s="25">
        <f t="shared" si="4"/>
        <v>0.72</v>
      </c>
      <c r="H147" s="15" t="str">
        <f t="shared" si="5"/>
        <v>pay</v>
      </c>
    </row>
    <row r="148" spans="1:8" x14ac:dyDescent="0.35">
      <c r="A148" s="20" t="s">
        <v>189</v>
      </c>
      <c r="B148" s="22">
        <v>1</v>
      </c>
      <c r="C148" s="22">
        <v>1</v>
      </c>
      <c r="D148" s="22">
        <v>1</v>
      </c>
      <c r="E148" s="22">
        <v>1</v>
      </c>
      <c r="F148" s="22">
        <f>VLOOKUP(A:A,'SOS VS SOM'!A:E,4,FALSE)</f>
        <v>0</v>
      </c>
      <c r="G148" s="25">
        <f t="shared" si="4"/>
        <v>0.8</v>
      </c>
      <c r="H148" s="15" t="str">
        <f t="shared" si="5"/>
        <v>pay</v>
      </c>
    </row>
    <row r="149" spans="1:8" x14ac:dyDescent="0.35">
      <c r="A149" s="20" t="s">
        <v>190</v>
      </c>
      <c r="B149" s="22">
        <v>1</v>
      </c>
      <c r="C149" s="22">
        <v>1</v>
      </c>
      <c r="D149" s="22">
        <v>0.97678018575851389</v>
      </c>
      <c r="E149" s="22">
        <v>1</v>
      </c>
      <c r="F149" s="22">
        <f>VLOOKUP(A:A,'SOS VS SOM'!A:E,4,FALSE)</f>
        <v>0</v>
      </c>
      <c r="G149" s="25">
        <f t="shared" si="4"/>
        <v>0.79535603715170278</v>
      </c>
      <c r="H149" s="15" t="str">
        <f t="shared" si="5"/>
        <v>pay</v>
      </c>
    </row>
    <row r="150" spans="1:8" x14ac:dyDescent="0.35">
      <c r="A150" s="20" t="s">
        <v>191</v>
      </c>
      <c r="B150" s="22">
        <v>1</v>
      </c>
      <c r="C150" s="22">
        <v>0.48148148148148145</v>
      </c>
      <c r="D150" s="22">
        <v>0.93888888888888888</v>
      </c>
      <c r="E150" s="22">
        <v>1</v>
      </c>
      <c r="F150" s="22">
        <f>VLOOKUP(A:A,'SOS VS SOM'!A:E,4,FALSE)</f>
        <v>0</v>
      </c>
      <c r="G150" s="25">
        <f t="shared" si="4"/>
        <v>0.68407407407407406</v>
      </c>
      <c r="H150" s="15" t="str">
        <f t="shared" si="5"/>
        <v>pay</v>
      </c>
    </row>
    <row r="151" spans="1:8" x14ac:dyDescent="0.35">
      <c r="A151" s="20" t="s">
        <v>192</v>
      </c>
      <c r="B151" s="22">
        <v>1</v>
      </c>
      <c r="C151" s="22">
        <v>1</v>
      </c>
      <c r="D151" s="22">
        <v>0.98333333333333328</v>
      </c>
      <c r="E151" s="22">
        <v>1</v>
      </c>
      <c r="F151" s="22">
        <f>VLOOKUP(A:A,'SOS VS SOM'!A:E,4,FALSE)</f>
        <v>1</v>
      </c>
      <c r="G151" s="25">
        <f t="shared" si="4"/>
        <v>0.9966666666666667</v>
      </c>
      <c r="H151" s="15" t="str">
        <f t="shared" si="5"/>
        <v>pay</v>
      </c>
    </row>
    <row r="152" spans="1:8" x14ac:dyDescent="0.35">
      <c r="A152" s="20" t="s">
        <v>193</v>
      </c>
      <c r="B152" s="22">
        <v>1</v>
      </c>
      <c r="C152" s="22">
        <v>0.4</v>
      </c>
      <c r="D152" s="22">
        <v>0.97222222222222221</v>
      </c>
      <c r="E152" s="22">
        <v>1</v>
      </c>
      <c r="F152" s="22">
        <f>VLOOKUP(A:A,'SOS VS SOM'!A:E,4,FALSE)</f>
        <v>0</v>
      </c>
      <c r="G152" s="25">
        <f t="shared" si="4"/>
        <v>0.6744444444444444</v>
      </c>
      <c r="H152" s="15" t="str">
        <f t="shared" si="5"/>
        <v>pay</v>
      </c>
    </row>
    <row r="153" spans="1:8" x14ac:dyDescent="0.35">
      <c r="A153" s="20" t="s">
        <v>194</v>
      </c>
      <c r="B153" s="22">
        <v>1</v>
      </c>
      <c r="C153" s="22">
        <v>0.4</v>
      </c>
      <c r="D153" s="22">
        <v>0.98095238095238091</v>
      </c>
      <c r="E153" s="22">
        <v>1</v>
      </c>
      <c r="F153" s="22">
        <f>VLOOKUP(A:A,'SOS VS SOM'!A:E,4,FALSE)</f>
        <v>0</v>
      </c>
      <c r="G153" s="25">
        <f t="shared" si="4"/>
        <v>0.67619047619047623</v>
      </c>
      <c r="H153" s="15" t="str">
        <f t="shared" si="5"/>
        <v>pay</v>
      </c>
    </row>
  </sheetData>
  <pageMargins left="0.7" right="0.7" top="0.75" bottom="0.75" header="0.3" footer="0.3"/>
  <ignoredErrors>
    <ignoredError sqref="F54 F66" calculatedColumn="1"/>
  </ignoredErrors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F0845-9E79-4E94-8DA4-4538016B57E7}">
  <dimension ref="A1:E141"/>
  <sheetViews>
    <sheetView showGridLines="0" workbookViewId="0">
      <selection activeCell="F7" sqref="F7"/>
    </sheetView>
  </sheetViews>
  <sheetFormatPr defaultRowHeight="14.5" x14ac:dyDescent="0.35"/>
  <cols>
    <col min="1" max="1" width="36.1796875" bestFit="1" customWidth="1"/>
    <col min="2" max="2" width="9.08984375" bestFit="1" customWidth="1"/>
    <col min="3" max="3" width="7.26953125" bestFit="1" customWidth="1"/>
    <col min="4" max="4" width="13.1796875" bestFit="1" customWidth="1"/>
  </cols>
  <sheetData>
    <row r="1" spans="1:5" x14ac:dyDescent="0.35">
      <c r="A1" s="13" t="s">
        <v>206</v>
      </c>
      <c r="B1" s="13" t="s">
        <v>203</v>
      </c>
      <c r="C1" s="14" t="s">
        <v>204</v>
      </c>
      <c r="D1" s="13" t="s">
        <v>205</v>
      </c>
      <c r="E1" s="13" t="s">
        <v>211</v>
      </c>
    </row>
    <row r="2" spans="1:5" x14ac:dyDescent="0.35">
      <c r="A2" s="15" t="s">
        <v>17</v>
      </c>
      <c r="B2" s="16">
        <v>0.29524999999999996</v>
      </c>
      <c r="C2" s="16">
        <v>0.44153846153846155</v>
      </c>
      <c r="D2" s="16">
        <v>0</v>
      </c>
      <c r="E2" s="16" t="str">
        <f>IF(Table1[[#This Row],[SOS VS SOM]]=100%,"Pay","Don't pay")</f>
        <v>Don't pay</v>
      </c>
    </row>
    <row r="3" spans="1:5" x14ac:dyDescent="0.35">
      <c r="A3" s="15" t="s">
        <v>20</v>
      </c>
      <c r="B3" s="16">
        <v>0.40875</v>
      </c>
      <c r="C3" s="16">
        <v>0.40133333333333332</v>
      </c>
      <c r="D3" s="16">
        <v>1</v>
      </c>
      <c r="E3" s="16" t="str">
        <f>IF(Table1[[#This Row],[SOS VS SOM]]=100%,"Pay","Don't pay")</f>
        <v>Pay</v>
      </c>
    </row>
    <row r="4" spans="1:5" x14ac:dyDescent="0.35">
      <c r="A4" s="15" t="s">
        <v>22</v>
      </c>
      <c r="B4" s="16">
        <v>0.34593749999999995</v>
      </c>
      <c r="C4" s="16">
        <v>0.40083333333333337</v>
      </c>
      <c r="D4" s="16">
        <v>0</v>
      </c>
      <c r="E4" s="16" t="str">
        <f>IF(Table1[[#This Row],[SOS VS SOM]]=100%,"Pay","Don't pay")</f>
        <v>Don't pay</v>
      </c>
    </row>
    <row r="5" spans="1:5" x14ac:dyDescent="0.35">
      <c r="A5" s="15" t="s">
        <v>28</v>
      </c>
      <c r="B5" s="16">
        <v>0.19354166666666664</v>
      </c>
      <c r="C5" s="16">
        <v>0.3392857142857143</v>
      </c>
      <c r="D5" s="16">
        <v>0</v>
      </c>
      <c r="E5" s="16" t="str">
        <f>IF(Table1[[#This Row],[SOS VS SOM]]=100%,"Pay","Don't pay")</f>
        <v>Don't pay</v>
      </c>
    </row>
    <row r="6" spans="1:5" x14ac:dyDescent="0.35">
      <c r="A6" s="15" t="s">
        <v>32</v>
      </c>
      <c r="B6" s="16">
        <v>0.26250000000000001</v>
      </c>
      <c r="C6" s="16">
        <v>0.43200000000000005</v>
      </c>
      <c r="D6" s="16">
        <v>0</v>
      </c>
      <c r="E6" s="16" t="str">
        <f>IF(Table1[[#This Row],[SOS VS SOM]]=100%,"Pay","Don't pay")</f>
        <v>Don't pay</v>
      </c>
    </row>
    <row r="7" spans="1:5" x14ac:dyDescent="0.35">
      <c r="A7" s="15" t="s">
        <v>34</v>
      </c>
      <c r="B7" s="16">
        <v>0.18895833333333331</v>
      </c>
      <c r="C7" s="16">
        <v>0.29933333333333334</v>
      </c>
      <c r="D7" s="16">
        <v>0</v>
      </c>
      <c r="E7" s="16" t="str">
        <f>IF(Table1[[#This Row],[SOS VS SOM]]=100%,"Pay","Don't pay")</f>
        <v>Don't pay</v>
      </c>
    </row>
    <row r="8" spans="1:5" x14ac:dyDescent="0.35">
      <c r="A8" s="15" t="s">
        <v>38</v>
      </c>
      <c r="B8" s="16">
        <v>0.21999999999999997</v>
      </c>
      <c r="C8" s="16">
        <v>0.30499999999999999</v>
      </c>
      <c r="D8" s="16">
        <v>0</v>
      </c>
      <c r="E8" s="16" t="str">
        <f>IF(Table1[[#This Row],[SOS VS SOM]]=100%,"Pay","Don't pay")</f>
        <v>Don't pay</v>
      </c>
    </row>
    <row r="9" spans="1:5" x14ac:dyDescent="0.35">
      <c r="A9" s="15" t="s">
        <v>40</v>
      </c>
      <c r="B9" s="16">
        <v>0.19000000000000003</v>
      </c>
      <c r="C9" s="16">
        <v>0.28857142857142859</v>
      </c>
      <c r="D9" s="16">
        <v>0</v>
      </c>
      <c r="E9" s="16" t="str">
        <f>IF(Table1[[#This Row],[SOS VS SOM]]=100%,"Pay","Don't pay")</f>
        <v>Don't pay</v>
      </c>
    </row>
    <row r="10" spans="1:5" x14ac:dyDescent="0.35">
      <c r="A10" s="15" t="s">
        <v>41</v>
      </c>
      <c r="B10" s="16">
        <v>0.22750000000000001</v>
      </c>
      <c r="C10" s="16">
        <v>0.36599999999999994</v>
      </c>
      <c r="D10" s="16">
        <v>0</v>
      </c>
      <c r="E10" s="16" t="str">
        <f>IF(Table1[[#This Row],[SOS VS SOM]]=100%,"Pay","Don't pay")</f>
        <v>Don't pay</v>
      </c>
    </row>
    <row r="11" spans="1:5" x14ac:dyDescent="0.35">
      <c r="A11" s="15" t="s">
        <v>52</v>
      </c>
      <c r="B11" s="16">
        <v>0.33624999999999999</v>
      </c>
      <c r="C11" s="16">
        <v>0.49307692307692302</v>
      </c>
      <c r="D11" s="16">
        <v>0</v>
      </c>
      <c r="E11" s="16" t="str">
        <f>IF(Table1[[#This Row],[SOS VS SOM]]=100%,"Pay","Don't pay")</f>
        <v>Don't pay</v>
      </c>
    </row>
    <row r="12" spans="1:5" x14ac:dyDescent="0.35">
      <c r="A12" s="15" t="s">
        <v>61</v>
      </c>
      <c r="B12" s="16">
        <v>0.22062500000000002</v>
      </c>
      <c r="C12" s="16">
        <v>0.30384615384615393</v>
      </c>
      <c r="D12" s="16">
        <v>0</v>
      </c>
      <c r="E12" s="16" t="str">
        <f>IF(Table1[[#This Row],[SOS VS SOM]]=100%,"Pay","Don't pay")</f>
        <v>Don't pay</v>
      </c>
    </row>
    <row r="13" spans="1:5" x14ac:dyDescent="0.35">
      <c r="A13" s="15" t="s">
        <v>64</v>
      </c>
      <c r="B13" s="16">
        <v>0.30437500000000001</v>
      </c>
      <c r="C13" s="16">
        <v>0.3507142857142857</v>
      </c>
      <c r="D13" s="16">
        <v>0</v>
      </c>
      <c r="E13" s="16" t="str">
        <f>IF(Table1[[#This Row],[SOS VS SOM]]=100%,"Pay","Don't pay")</f>
        <v>Don't pay</v>
      </c>
    </row>
    <row r="14" spans="1:5" x14ac:dyDescent="0.35">
      <c r="A14" s="15" t="s">
        <v>67</v>
      </c>
      <c r="B14" s="16">
        <v>0.31375000000000003</v>
      </c>
      <c r="C14" s="16">
        <v>0.47615384615384609</v>
      </c>
      <c r="D14" s="16">
        <v>0</v>
      </c>
      <c r="E14" s="16" t="str">
        <f>IF(Table1[[#This Row],[SOS VS SOM]]=100%,"Pay","Don't pay")</f>
        <v>Don't pay</v>
      </c>
    </row>
    <row r="15" spans="1:5" x14ac:dyDescent="0.35">
      <c r="A15" s="15" t="s">
        <v>76</v>
      </c>
      <c r="B15" s="16">
        <v>0.22124999999999997</v>
      </c>
      <c r="C15" s="16">
        <v>0.43166666666666659</v>
      </c>
      <c r="D15" s="16">
        <v>0</v>
      </c>
      <c r="E15" s="16" t="str">
        <f>IF(Table1[[#This Row],[SOS VS SOM]]=100%,"Pay","Don't pay")</f>
        <v>Don't pay</v>
      </c>
    </row>
    <row r="16" spans="1:5" x14ac:dyDescent="0.35">
      <c r="A16" s="15" t="s">
        <v>79</v>
      </c>
      <c r="B16" s="16">
        <v>0.42656250000000007</v>
      </c>
      <c r="C16" s="16">
        <v>0.41733333333333333</v>
      </c>
      <c r="D16" s="16">
        <v>1</v>
      </c>
      <c r="E16" s="16" t="str">
        <f>IF(Table1[[#This Row],[SOS VS SOM]]=100%,"Pay","Don't pay")</f>
        <v>Pay</v>
      </c>
    </row>
    <row r="17" spans="1:5" x14ac:dyDescent="0.35">
      <c r="A17" s="15" t="s">
        <v>86</v>
      </c>
      <c r="B17" s="16">
        <v>0.24750000000000003</v>
      </c>
      <c r="C17" s="16">
        <v>0.28428571428571431</v>
      </c>
      <c r="D17" s="16">
        <v>0</v>
      </c>
      <c r="E17" s="16" t="str">
        <f>IF(Table1[[#This Row],[SOS VS SOM]]=100%,"Pay","Don't pay")</f>
        <v>Don't pay</v>
      </c>
    </row>
    <row r="18" spans="1:5" x14ac:dyDescent="0.35">
      <c r="A18" s="15" t="s">
        <v>88</v>
      </c>
      <c r="B18" s="16">
        <v>0.24875</v>
      </c>
      <c r="C18" s="16">
        <v>0.20571428571428577</v>
      </c>
      <c r="D18" s="16">
        <v>1</v>
      </c>
      <c r="E18" s="16" t="str">
        <f>IF(Table1[[#This Row],[SOS VS SOM]]=100%,"Pay","Don't pay")</f>
        <v>Pay</v>
      </c>
    </row>
    <row r="19" spans="1:5" x14ac:dyDescent="0.35">
      <c r="A19" s="15" t="s">
        <v>91</v>
      </c>
      <c r="B19" s="16">
        <v>0.28875000000000001</v>
      </c>
      <c r="C19" s="16">
        <v>0.30999999999999994</v>
      </c>
      <c r="D19" s="16">
        <v>0</v>
      </c>
      <c r="E19" s="16" t="str">
        <f>IF(Table1[[#This Row],[SOS VS SOM]]=100%,"Pay","Don't pay")</f>
        <v>Don't pay</v>
      </c>
    </row>
    <row r="20" spans="1:5" x14ac:dyDescent="0.35">
      <c r="A20" s="15" t="s">
        <v>99</v>
      </c>
      <c r="B20" s="16">
        <v>0.35</v>
      </c>
      <c r="C20" s="16">
        <v>0.36933333333333335</v>
      </c>
      <c r="D20" s="16">
        <v>0</v>
      </c>
      <c r="E20" s="16" t="str">
        <f>IF(Table1[[#This Row],[SOS VS SOM]]=100%,"Pay","Don't pay")</f>
        <v>Don't pay</v>
      </c>
    </row>
    <row r="21" spans="1:5" x14ac:dyDescent="0.35">
      <c r="A21" s="15" t="s">
        <v>100</v>
      </c>
      <c r="B21" s="16">
        <v>0.35749999999999993</v>
      </c>
      <c r="C21" s="16">
        <v>0.38866666666666666</v>
      </c>
      <c r="D21" s="16">
        <v>0</v>
      </c>
      <c r="E21" s="16" t="str">
        <f>IF(Table1[[#This Row],[SOS VS SOM]]=100%,"Pay","Don't pay")</f>
        <v>Don't pay</v>
      </c>
    </row>
    <row r="22" spans="1:5" x14ac:dyDescent="0.35">
      <c r="A22" s="15" t="s">
        <v>105</v>
      </c>
      <c r="B22" s="16">
        <v>0.22349999999999995</v>
      </c>
      <c r="C22" s="16">
        <v>0.46066666666666667</v>
      </c>
      <c r="D22" s="16">
        <v>0</v>
      </c>
      <c r="E22" s="16" t="str">
        <f>IF(Table1[[#This Row],[SOS VS SOM]]=100%,"Pay","Don't pay")</f>
        <v>Don't pay</v>
      </c>
    </row>
    <row r="23" spans="1:5" x14ac:dyDescent="0.35">
      <c r="A23" s="15" t="s">
        <v>112</v>
      </c>
      <c r="B23" s="16">
        <v>0.31125000000000003</v>
      </c>
      <c r="C23" s="16">
        <v>0.47642857142857142</v>
      </c>
      <c r="D23" s="16">
        <v>0</v>
      </c>
      <c r="E23" s="16" t="str">
        <f>IF(Table1[[#This Row],[SOS VS SOM]]=100%,"Pay","Don't pay")</f>
        <v>Don't pay</v>
      </c>
    </row>
    <row r="24" spans="1:5" x14ac:dyDescent="0.35">
      <c r="A24" s="15" t="s">
        <v>137</v>
      </c>
      <c r="B24" s="16">
        <v>0.49812499999999993</v>
      </c>
      <c r="C24" s="16">
        <v>0.46333333333333326</v>
      </c>
      <c r="D24" s="16">
        <v>1</v>
      </c>
      <c r="E24" s="16" t="str">
        <f>IF(Table1[[#This Row],[SOS VS SOM]]=100%,"Pay","Don't pay")</f>
        <v>Pay</v>
      </c>
    </row>
    <row r="25" spans="1:5" x14ac:dyDescent="0.35">
      <c r="A25" s="15" t="s">
        <v>140</v>
      </c>
      <c r="B25" s="16">
        <v>0.31406249999999997</v>
      </c>
      <c r="C25" s="16">
        <v>0.38692307692307693</v>
      </c>
      <c r="D25" s="16">
        <v>0</v>
      </c>
      <c r="E25" s="16" t="str">
        <f>IF(Table1[[#This Row],[SOS VS SOM]]=100%,"Pay","Don't pay")</f>
        <v>Don't pay</v>
      </c>
    </row>
    <row r="26" spans="1:5" x14ac:dyDescent="0.35">
      <c r="A26" s="15" t="s">
        <v>150</v>
      </c>
      <c r="B26" s="16">
        <v>0.38550000000000001</v>
      </c>
      <c r="C26" s="16">
        <v>0.36</v>
      </c>
      <c r="D26" s="16">
        <v>1</v>
      </c>
      <c r="E26" s="16" t="str">
        <f>IF(Table1[[#This Row],[SOS VS SOM]]=100%,"Pay","Don't pay")</f>
        <v>Pay</v>
      </c>
    </row>
    <row r="27" spans="1:5" x14ac:dyDescent="0.35">
      <c r="A27" s="15" t="s">
        <v>156</v>
      </c>
      <c r="B27" s="16">
        <v>0.13400000000000001</v>
      </c>
      <c r="C27" s="16">
        <v>0.38285714285714284</v>
      </c>
      <c r="D27" s="16">
        <v>0</v>
      </c>
      <c r="E27" s="16" t="str">
        <f>IF(Table1[[#This Row],[SOS VS SOM]]=100%,"Pay","Don't pay")</f>
        <v>Don't pay</v>
      </c>
    </row>
    <row r="28" spans="1:5" x14ac:dyDescent="0.35">
      <c r="A28" s="15" t="s">
        <v>157</v>
      </c>
      <c r="B28" s="16">
        <v>0.21249999999999994</v>
      </c>
      <c r="C28" s="16">
        <v>0.39785714285714285</v>
      </c>
      <c r="D28" s="16">
        <v>0</v>
      </c>
      <c r="E28" s="16" t="str">
        <f>IF(Table1[[#This Row],[SOS VS SOM]]=100%,"Pay","Don't pay")</f>
        <v>Don't pay</v>
      </c>
    </row>
    <row r="29" spans="1:5" x14ac:dyDescent="0.35">
      <c r="A29" s="15" t="s">
        <v>158</v>
      </c>
      <c r="B29" s="16">
        <v>0.17656250000000001</v>
      </c>
      <c r="C29" s="16">
        <v>0.22857142857142859</v>
      </c>
      <c r="D29" s="16">
        <v>0</v>
      </c>
      <c r="E29" s="16" t="str">
        <f>IF(Table1[[#This Row],[SOS VS SOM]]=100%,"Pay","Don't pay")</f>
        <v>Don't pay</v>
      </c>
    </row>
    <row r="30" spans="1:5" x14ac:dyDescent="0.35">
      <c r="A30" s="15" t="s">
        <v>162</v>
      </c>
      <c r="B30" s="16">
        <v>0.27625000000000011</v>
      </c>
      <c r="C30" s="16">
        <v>0.32866666666666672</v>
      </c>
      <c r="D30" s="16">
        <v>0</v>
      </c>
      <c r="E30" s="16" t="str">
        <f>IF(Table1[[#This Row],[SOS VS SOM]]=100%,"Pay","Don't pay")</f>
        <v>Don't pay</v>
      </c>
    </row>
    <row r="31" spans="1:5" x14ac:dyDescent="0.35">
      <c r="A31" s="15" t="s">
        <v>170</v>
      </c>
      <c r="B31" s="16">
        <v>0.27375000000000005</v>
      </c>
      <c r="C31" s="16">
        <v>0.37428571428571428</v>
      </c>
      <c r="D31" s="16">
        <v>0</v>
      </c>
      <c r="E31" s="16" t="str">
        <f>IF(Table1[[#This Row],[SOS VS SOM]]=100%,"Pay","Don't pay")</f>
        <v>Don't pay</v>
      </c>
    </row>
    <row r="32" spans="1:5" x14ac:dyDescent="0.35">
      <c r="A32" s="15" t="s">
        <v>171</v>
      </c>
      <c r="B32" s="16">
        <v>0.47843750000000018</v>
      </c>
      <c r="C32" s="16">
        <v>0.43999999999999995</v>
      </c>
      <c r="D32" s="16">
        <v>1</v>
      </c>
      <c r="E32" s="16" t="str">
        <f>IF(Table1[[#This Row],[SOS VS SOM]]=100%,"Pay","Don't pay")</f>
        <v>Pay</v>
      </c>
    </row>
    <row r="33" spans="1:5" x14ac:dyDescent="0.35">
      <c r="A33" s="15" t="s">
        <v>172</v>
      </c>
      <c r="B33" s="16">
        <v>0.36499999999999999</v>
      </c>
      <c r="C33" s="16">
        <v>0.3813333333333333</v>
      </c>
      <c r="D33" s="16">
        <v>0</v>
      </c>
      <c r="E33" s="16" t="str">
        <f>IF(Table1[[#This Row],[SOS VS SOM]]=100%,"Pay","Don't pay")</f>
        <v>Don't pay</v>
      </c>
    </row>
    <row r="34" spans="1:5" x14ac:dyDescent="0.35">
      <c r="A34" s="15" t="s">
        <v>182</v>
      </c>
      <c r="B34" s="16">
        <v>0.21775000000000005</v>
      </c>
      <c r="C34" s="16">
        <v>0.40727272727272729</v>
      </c>
      <c r="D34" s="16">
        <v>0</v>
      </c>
      <c r="E34" s="16" t="str">
        <f>IF(Table1[[#This Row],[SOS VS SOM]]=100%,"Pay","Don't pay")</f>
        <v>Don't pay</v>
      </c>
    </row>
    <row r="35" spans="1:5" x14ac:dyDescent="0.35">
      <c r="A35" s="15" t="s">
        <v>133</v>
      </c>
      <c r="B35" s="16">
        <v>0.22562499999999996</v>
      </c>
      <c r="C35" s="16">
        <v>0.32500000000000007</v>
      </c>
      <c r="D35" s="16">
        <v>0</v>
      </c>
      <c r="E35" s="16" t="str">
        <f>IF(Table1[[#This Row],[SOS VS SOM]]=100%,"Pay","Don't pay")</f>
        <v>Don't pay</v>
      </c>
    </row>
    <row r="36" spans="1:5" x14ac:dyDescent="0.35">
      <c r="A36" s="15" t="s">
        <v>108</v>
      </c>
      <c r="B36" s="16">
        <v>0.21125000000000002</v>
      </c>
      <c r="C36" s="16">
        <v>0.36785714285714288</v>
      </c>
      <c r="D36" s="16">
        <v>0</v>
      </c>
      <c r="E36" s="16" t="str">
        <f>IF(Table1[[#This Row],[SOS VS SOM]]=100%,"Pay","Don't pay")</f>
        <v>Don't pay</v>
      </c>
    </row>
    <row r="37" spans="1:5" x14ac:dyDescent="0.35">
      <c r="A37" s="15" t="s">
        <v>167</v>
      </c>
      <c r="B37" s="16">
        <v>0.2820833333333333</v>
      </c>
      <c r="C37" s="16">
        <v>0.39333333333333331</v>
      </c>
      <c r="D37" s="16">
        <v>0</v>
      </c>
      <c r="E37" s="16" t="str">
        <f>IF(Table1[[#This Row],[SOS VS SOM]]=100%,"Pay","Don't pay")</f>
        <v>Don't pay</v>
      </c>
    </row>
    <row r="38" spans="1:5" x14ac:dyDescent="0.35">
      <c r="A38" s="15" t="s">
        <v>197</v>
      </c>
      <c r="B38" s="16">
        <v>0.2109375</v>
      </c>
      <c r="C38" s="16">
        <v>0.35230769230769232</v>
      </c>
      <c r="D38" s="16">
        <v>0</v>
      </c>
      <c r="E38" s="16" t="str">
        <f>IF(Table1[[#This Row],[SOS VS SOM]]=100%,"Pay","Don't pay")</f>
        <v>Don't pay</v>
      </c>
    </row>
    <row r="39" spans="1:5" x14ac:dyDescent="0.35">
      <c r="A39" s="15" t="s">
        <v>175</v>
      </c>
      <c r="B39" s="16">
        <v>0.30958333333333327</v>
      </c>
      <c r="C39" s="16">
        <v>0.37999999999999995</v>
      </c>
      <c r="D39" s="16">
        <v>0</v>
      </c>
      <c r="E39" s="16" t="str">
        <f>IF(Table1[[#This Row],[SOS VS SOM]]=100%,"Pay","Don't pay")</f>
        <v>Don't pay</v>
      </c>
    </row>
    <row r="40" spans="1:5" x14ac:dyDescent="0.35">
      <c r="A40" s="15" t="s">
        <v>68</v>
      </c>
      <c r="B40" s="16">
        <v>0.20324999999999999</v>
      </c>
      <c r="C40" s="16">
        <v>0.2533333333333333</v>
      </c>
      <c r="D40" s="16">
        <v>0</v>
      </c>
      <c r="E40" s="16" t="str">
        <f>IF(Table1[[#This Row],[SOS VS SOM]]=100%,"Pay","Don't pay")</f>
        <v>Don't pay</v>
      </c>
    </row>
    <row r="41" spans="1:5" x14ac:dyDescent="0.35">
      <c r="A41" s="15" t="s">
        <v>36</v>
      </c>
      <c r="B41" s="16">
        <v>0.19500000000000003</v>
      </c>
      <c r="C41" s="16">
        <v>0.39999999999999997</v>
      </c>
      <c r="D41" s="16">
        <v>0</v>
      </c>
      <c r="E41" s="16" t="str">
        <f>IF(Table1[[#This Row],[SOS VS SOM]]=100%,"Pay","Don't pay")</f>
        <v>Don't pay</v>
      </c>
    </row>
    <row r="42" spans="1:5" x14ac:dyDescent="0.35">
      <c r="A42" s="15" t="s">
        <v>194</v>
      </c>
      <c r="B42" s="16">
        <v>0.25312499999999999</v>
      </c>
      <c r="C42" s="16">
        <v>0.31692307692307692</v>
      </c>
      <c r="D42" s="16">
        <v>0</v>
      </c>
      <c r="E42" s="16" t="str">
        <f>IF(Table1[[#This Row],[SOS VS SOM]]=100%,"Pay","Don't pay")</f>
        <v>Don't pay</v>
      </c>
    </row>
    <row r="43" spans="1:5" x14ac:dyDescent="0.35">
      <c r="A43" s="15" t="s">
        <v>154</v>
      </c>
      <c r="B43" s="16">
        <v>0.17812499999999998</v>
      </c>
      <c r="C43" s="16">
        <v>0.24714285714285711</v>
      </c>
      <c r="D43" s="16">
        <v>0</v>
      </c>
      <c r="E43" s="16" t="str">
        <f>IF(Table1[[#This Row],[SOS VS SOM]]=100%,"Pay","Don't pay")</f>
        <v>Don't pay</v>
      </c>
    </row>
    <row r="44" spans="1:5" x14ac:dyDescent="0.35">
      <c r="A44" s="15" t="s">
        <v>152</v>
      </c>
      <c r="B44" s="16">
        <v>0</v>
      </c>
      <c r="C44" s="16">
        <v>0.27933333333333332</v>
      </c>
      <c r="D44" s="16">
        <v>0</v>
      </c>
      <c r="E44" s="16" t="str">
        <f>IF(Table1[[#This Row],[SOS VS SOM]]=100%,"Pay","Don't pay")</f>
        <v>Don't pay</v>
      </c>
    </row>
    <row r="45" spans="1:5" x14ac:dyDescent="0.35">
      <c r="A45" s="15" t="s">
        <v>126</v>
      </c>
      <c r="B45" s="16">
        <v>0.27562499999999995</v>
      </c>
      <c r="C45" s="16">
        <v>0.45000000000000007</v>
      </c>
      <c r="D45" s="16">
        <v>0</v>
      </c>
      <c r="E45" s="16" t="str">
        <f>IF(Table1[[#This Row],[SOS VS SOM]]=100%,"Pay","Don't pay")</f>
        <v>Don't pay</v>
      </c>
    </row>
    <row r="46" spans="1:5" x14ac:dyDescent="0.35">
      <c r="A46" s="15" t="s">
        <v>184</v>
      </c>
      <c r="B46" s="16">
        <v>0.24624999999999997</v>
      </c>
      <c r="C46" s="16">
        <v>0.59307692307692306</v>
      </c>
      <c r="D46" s="16">
        <v>0</v>
      </c>
      <c r="E46" s="16" t="str">
        <f>IF(Table1[[#This Row],[SOS VS SOM]]=100%,"Pay","Don't pay")</f>
        <v>Don't pay</v>
      </c>
    </row>
    <row r="47" spans="1:5" x14ac:dyDescent="0.35">
      <c r="A47" s="15" t="s">
        <v>116</v>
      </c>
      <c r="B47" s="16">
        <v>0.42406250000000001</v>
      </c>
      <c r="C47" s="16">
        <v>0.45230769230769236</v>
      </c>
      <c r="D47" s="16">
        <v>0</v>
      </c>
      <c r="E47" s="16" t="str">
        <f>IF(Table1[[#This Row],[SOS VS SOM]]=100%,"Pay","Don't pay")</f>
        <v>Don't pay</v>
      </c>
    </row>
    <row r="48" spans="1:5" x14ac:dyDescent="0.35">
      <c r="A48" s="15" t="s">
        <v>185</v>
      </c>
      <c r="B48" s="16">
        <v>0.4478125</v>
      </c>
      <c r="C48" s="16">
        <v>0.46199999999999997</v>
      </c>
      <c r="D48" s="16">
        <v>0</v>
      </c>
      <c r="E48" s="16" t="str">
        <f>IF(Table1[[#This Row],[SOS VS SOM]]=100%,"Pay","Don't pay")</f>
        <v>Don't pay</v>
      </c>
    </row>
    <row r="49" spans="1:5" x14ac:dyDescent="0.35">
      <c r="A49" s="15" t="s">
        <v>181</v>
      </c>
      <c r="B49" s="16">
        <v>0.18475000000000003</v>
      </c>
      <c r="C49" s="16">
        <v>0.28857142857142859</v>
      </c>
      <c r="D49" s="16">
        <v>0</v>
      </c>
      <c r="E49" s="16" t="str">
        <f>IF(Table1[[#This Row],[SOS VS SOM]]=100%,"Pay","Don't pay")</f>
        <v>Don't pay</v>
      </c>
    </row>
    <row r="50" spans="1:5" x14ac:dyDescent="0.35">
      <c r="A50" s="15" t="s">
        <v>98</v>
      </c>
      <c r="B50" s="16">
        <v>0.41333333333333339</v>
      </c>
      <c r="C50" s="16">
        <v>0.37</v>
      </c>
      <c r="D50" s="16">
        <v>1</v>
      </c>
      <c r="E50" s="16" t="str">
        <f>IF(Table1[[#This Row],[SOS VS SOM]]=100%,"Pay","Don't pay")</f>
        <v>Pay</v>
      </c>
    </row>
    <row r="51" spans="1:5" x14ac:dyDescent="0.35">
      <c r="A51" s="15" t="s">
        <v>39</v>
      </c>
      <c r="B51" s="16">
        <v>9.8749999999999991E-2</v>
      </c>
      <c r="C51" s="16">
        <v>0.3357142857142858</v>
      </c>
      <c r="D51" s="16">
        <v>0</v>
      </c>
      <c r="E51" s="16" t="str">
        <f>IF(Table1[[#This Row],[SOS VS SOM]]=100%,"Pay","Don't pay")</f>
        <v>Don't pay</v>
      </c>
    </row>
    <row r="52" spans="1:5" x14ac:dyDescent="0.35">
      <c r="A52" s="15" t="s">
        <v>153</v>
      </c>
      <c r="B52" s="16">
        <v>0.32062499999999999</v>
      </c>
      <c r="C52" s="16">
        <v>0.36133333333333334</v>
      </c>
      <c r="D52" s="16">
        <v>0</v>
      </c>
      <c r="E52" s="16" t="str">
        <f>IF(Table1[[#This Row],[SOS VS SOM]]=100%,"Pay","Don't pay")</f>
        <v>Don't pay</v>
      </c>
    </row>
    <row r="53" spans="1:5" x14ac:dyDescent="0.35">
      <c r="A53" s="15" t="s">
        <v>75</v>
      </c>
      <c r="B53" s="16">
        <v>0.32500000000000001</v>
      </c>
      <c r="C53" s="16">
        <v>0.39166666666666661</v>
      </c>
      <c r="D53" s="16">
        <v>0</v>
      </c>
      <c r="E53" s="16" t="str">
        <f>IF(Table1[[#This Row],[SOS VS SOM]]=100%,"Pay","Don't pay")</f>
        <v>Don't pay</v>
      </c>
    </row>
    <row r="54" spans="1:5" x14ac:dyDescent="0.35">
      <c r="A54" s="15" t="s">
        <v>87</v>
      </c>
      <c r="B54" s="16">
        <v>0.22916666666666671</v>
      </c>
      <c r="C54" s="16">
        <v>0.38846153846153836</v>
      </c>
      <c r="D54" s="16">
        <v>0</v>
      </c>
      <c r="E54" s="16" t="str">
        <f>IF(Table1[[#This Row],[SOS VS SOM]]=100%,"Pay","Don't pay")</f>
        <v>Don't pay</v>
      </c>
    </row>
    <row r="55" spans="1:5" x14ac:dyDescent="0.35">
      <c r="A55" s="15" t="s">
        <v>8</v>
      </c>
      <c r="B55" s="16">
        <v>0.31749999999999995</v>
      </c>
      <c r="C55" s="16">
        <v>0.41666666666666674</v>
      </c>
      <c r="D55" s="16">
        <v>0</v>
      </c>
      <c r="E55" s="16" t="str">
        <f>IF(Table1[[#This Row],[SOS VS SOM]]=100%,"Pay","Don't pay")</f>
        <v>Don't pay</v>
      </c>
    </row>
    <row r="56" spans="1:5" x14ac:dyDescent="0.35">
      <c r="A56" s="15" t="s">
        <v>139</v>
      </c>
      <c r="B56" s="16">
        <v>0.24875000000000005</v>
      </c>
      <c r="C56" s="16">
        <v>0.30357142857142855</v>
      </c>
      <c r="D56" s="16">
        <v>0</v>
      </c>
      <c r="E56" s="16" t="str">
        <f>IF(Table1[[#This Row],[SOS VS SOM]]=100%,"Pay","Don't pay")</f>
        <v>Don't pay</v>
      </c>
    </row>
    <row r="57" spans="1:5" x14ac:dyDescent="0.35">
      <c r="A57" s="15" t="s">
        <v>188</v>
      </c>
      <c r="B57" s="16">
        <v>0.30156250000000001</v>
      </c>
      <c r="C57" s="16">
        <v>0.35200000000000004</v>
      </c>
      <c r="D57" s="16">
        <v>0</v>
      </c>
      <c r="E57" s="16" t="str">
        <f>IF(Table1[[#This Row],[SOS VS SOM]]=100%,"Pay","Don't pay")</f>
        <v>Don't pay</v>
      </c>
    </row>
    <row r="58" spans="1:5" x14ac:dyDescent="0.35">
      <c r="A58" s="15" t="s">
        <v>111</v>
      </c>
      <c r="B58" s="16">
        <v>0.50875000000000004</v>
      </c>
      <c r="C58" s="16">
        <v>0.49266666666666664</v>
      </c>
      <c r="D58" s="16">
        <v>1</v>
      </c>
      <c r="E58" s="16" t="str">
        <f>IF(Table1[[#This Row],[SOS VS SOM]]=100%,"Pay","Don't pay")</f>
        <v>Pay</v>
      </c>
    </row>
    <row r="59" spans="1:5" x14ac:dyDescent="0.35">
      <c r="A59" s="15" t="s">
        <v>135</v>
      </c>
      <c r="B59" s="16">
        <v>0.34645833333333326</v>
      </c>
      <c r="C59" s="16">
        <v>0.41833333333333339</v>
      </c>
      <c r="D59" s="16">
        <v>0</v>
      </c>
      <c r="E59" s="16" t="str">
        <f>IF(Table1[[#This Row],[SOS VS SOM]]=100%,"Pay","Don't pay")</f>
        <v>Don't pay</v>
      </c>
    </row>
    <row r="60" spans="1:5" x14ac:dyDescent="0.35">
      <c r="A60" s="15" t="s">
        <v>83</v>
      </c>
      <c r="B60" s="16">
        <v>0.375</v>
      </c>
      <c r="C60" s="16">
        <v>0.46499999999999991</v>
      </c>
      <c r="D60" s="16">
        <v>0</v>
      </c>
      <c r="E60" s="16" t="str">
        <f>IF(Table1[[#This Row],[SOS VS SOM]]=100%,"Pay","Don't pay")</f>
        <v>Don't pay</v>
      </c>
    </row>
    <row r="61" spans="1:5" x14ac:dyDescent="0.35">
      <c r="A61" s="15" t="s">
        <v>101</v>
      </c>
      <c r="B61" s="16">
        <v>0.25656250000000003</v>
      </c>
      <c r="C61" s="16">
        <v>0.5507142857142856</v>
      </c>
      <c r="D61" s="16">
        <v>0</v>
      </c>
      <c r="E61" s="16" t="str">
        <f>IF(Table1[[#This Row],[SOS VS SOM]]=100%,"Pay","Don't pay")</f>
        <v>Don't pay</v>
      </c>
    </row>
    <row r="62" spans="1:5" x14ac:dyDescent="0.35">
      <c r="A62" s="15" t="s">
        <v>151</v>
      </c>
      <c r="B62" s="16">
        <v>0.37666666666666665</v>
      </c>
      <c r="C62" s="16">
        <v>0.44307692307692303</v>
      </c>
      <c r="D62" s="16">
        <v>0</v>
      </c>
      <c r="E62" s="16" t="str">
        <f>IF(Table1[[#This Row],[SOS VS SOM]]=100%,"Pay","Don't pay")</f>
        <v>Don't pay</v>
      </c>
    </row>
    <row r="63" spans="1:5" x14ac:dyDescent="0.35">
      <c r="A63" s="15" t="s">
        <v>120</v>
      </c>
      <c r="B63" s="16">
        <v>0.32906249999999998</v>
      </c>
      <c r="C63" s="16">
        <v>0.3392857142857143</v>
      </c>
      <c r="D63" s="16">
        <v>0</v>
      </c>
      <c r="E63" s="16" t="str">
        <f>IF(Table1[[#This Row],[SOS VS SOM]]=100%,"Pay","Don't pay")</f>
        <v>Don't pay</v>
      </c>
    </row>
    <row r="64" spans="1:5" x14ac:dyDescent="0.35">
      <c r="A64" s="15" t="s">
        <v>143</v>
      </c>
      <c r="B64" s="16">
        <v>0.42187499999999994</v>
      </c>
      <c r="C64" s="16">
        <v>0.39466666666666667</v>
      </c>
      <c r="D64" s="16">
        <v>1</v>
      </c>
      <c r="E64" s="16" t="str">
        <f>IF(Table1[[#This Row],[SOS VS SOM]]=100%,"Pay","Don't pay")</f>
        <v>Pay</v>
      </c>
    </row>
    <row r="65" spans="1:5" x14ac:dyDescent="0.35">
      <c r="A65" s="15" t="s">
        <v>62</v>
      </c>
      <c r="B65" s="16">
        <v>0.2304166666666666</v>
      </c>
      <c r="C65" s="16">
        <v>0.41000000000000009</v>
      </c>
      <c r="D65" s="16">
        <v>0</v>
      </c>
      <c r="E65" s="16" t="str">
        <f>IF(Table1[[#This Row],[SOS VS SOM]]=100%,"Pay","Don't pay")</f>
        <v>Don't pay</v>
      </c>
    </row>
    <row r="66" spans="1:5" x14ac:dyDescent="0.35">
      <c r="A66" s="15" t="s">
        <v>136</v>
      </c>
      <c r="B66" s="16">
        <v>0.5116666666666666</v>
      </c>
      <c r="C66" s="16">
        <v>0.61466666666666669</v>
      </c>
      <c r="D66" s="16">
        <v>0</v>
      </c>
      <c r="E66" s="16" t="str">
        <f>IF(Table1[[#This Row],[SOS VS SOM]]=100%,"Pay","Don't pay")</f>
        <v>Don't pay</v>
      </c>
    </row>
    <row r="67" spans="1:5" x14ac:dyDescent="0.35">
      <c r="A67" s="15" t="s">
        <v>113</v>
      </c>
      <c r="B67" s="16">
        <v>0.36500000000000005</v>
      </c>
      <c r="C67" s="16">
        <v>0.41800000000000004</v>
      </c>
      <c r="D67" s="16">
        <v>0</v>
      </c>
      <c r="E67" s="16" t="str">
        <f>IF(Table1[[#This Row],[SOS VS SOM]]=100%,"Pay","Don't pay")</f>
        <v>Don't pay</v>
      </c>
    </row>
    <row r="68" spans="1:5" x14ac:dyDescent="0.35">
      <c r="A68" s="15" t="s">
        <v>25</v>
      </c>
      <c r="B68" s="16">
        <v>0.27937499999999998</v>
      </c>
      <c r="C68" s="16">
        <v>0.4107142857142857</v>
      </c>
      <c r="D68" s="16">
        <v>0</v>
      </c>
      <c r="E68" s="16" t="str">
        <f>IF(Table1[[#This Row],[SOS VS SOM]]=100%,"Pay","Don't pay")</f>
        <v>Don't pay</v>
      </c>
    </row>
    <row r="69" spans="1:5" x14ac:dyDescent="0.35">
      <c r="A69" s="15" t="s">
        <v>94</v>
      </c>
      <c r="B69" s="16">
        <v>0.45687499999999998</v>
      </c>
      <c r="C69" s="16">
        <v>0.49599999999999989</v>
      </c>
      <c r="D69" s="16">
        <v>0</v>
      </c>
      <c r="E69" s="16" t="str">
        <f>IF(Table1[[#This Row],[SOS VS SOM]]=100%,"Pay","Don't pay")</f>
        <v>Don't pay</v>
      </c>
    </row>
    <row r="70" spans="1:5" x14ac:dyDescent="0.35">
      <c r="A70" s="15" t="s">
        <v>174</v>
      </c>
      <c r="B70" s="16">
        <v>0.14749999999999996</v>
      </c>
      <c r="C70" s="16">
        <v>0.29307692307692312</v>
      </c>
      <c r="D70" s="16">
        <v>0</v>
      </c>
      <c r="E70" s="16" t="str">
        <f>IF(Table1[[#This Row],[SOS VS SOM]]=100%,"Pay","Don't pay")</f>
        <v>Don't pay</v>
      </c>
    </row>
    <row r="71" spans="1:5" x14ac:dyDescent="0.35">
      <c r="A71" s="15" t="s">
        <v>189</v>
      </c>
      <c r="B71" s="16">
        <v>0.25575000000000009</v>
      </c>
      <c r="C71" s="16">
        <v>0.41142857142857142</v>
      </c>
      <c r="D71" s="16">
        <v>0</v>
      </c>
      <c r="E71" s="16" t="str">
        <f>IF(Table1[[#This Row],[SOS VS SOM]]=100%,"Pay","Don't pay")</f>
        <v>Don't pay</v>
      </c>
    </row>
    <row r="72" spans="1:5" x14ac:dyDescent="0.35">
      <c r="A72" s="15" t="s">
        <v>19</v>
      </c>
      <c r="B72" s="16">
        <v>0.26999999999999996</v>
      </c>
      <c r="C72" s="16">
        <v>0.23642857142857143</v>
      </c>
      <c r="D72" s="16">
        <v>1</v>
      </c>
      <c r="E72" s="16" t="str">
        <f>IF(Table1[[#This Row],[SOS VS SOM]]=100%,"Pay","Don't pay")</f>
        <v>Pay</v>
      </c>
    </row>
    <row r="73" spans="1:5" x14ac:dyDescent="0.35">
      <c r="A73" s="15" t="s">
        <v>106</v>
      </c>
      <c r="B73" s="16">
        <v>0.39124999999999999</v>
      </c>
      <c r="C73" s="16">
        <v>0.47857142857142859</v>
      </c>
      <c r="D73" s="16">
        <v>0</v>
      </c>
      <c r="E73" s="16" t="str">
        <f>IF(Table1[[#This Row],[SOS VS SOM]]=100%,"Pay","Don't pay")</f>
        <v>Don't pay</v>
      </c>
    </row>
    <row r="74" spans="1:5" x14ac:dyDescent="0.35">
      <c r="A74" s="15" t="s">
        <v>78</v>
      </c>
      <c r="B74" s="16">
        <v>0.32375000000000004</v>
      </c>
      <c r="C74" s="16">
        <v>0.4984615384615384</v>
      </c>
      <c r="D74" s="16">
        <v>0</v>
      </c>
      <c r="E74" s="16" t="str">
        <f>IF(Table1[[#This Row],[SOS VS SOM]]=100%,"Pay","Don't pay")</f>
        <v>Don't pay</v>
      </c>
    </row>
    <row r="75" spans="1:5" x14ac:dyDescent="0.35">
      <c r="A75" s="15" t="s">
        <v>145</v>
      </c>
      <c r="B75" s="16">
        <v>0.31750000000000006</v>
      </c>
      <c r="C75" s="16">
        <v>0.44928571428571423</v>
      </c>
      <c r="D75" s="16">
        <v>0</v>
      </c>
      <c r="E75" s="16" t="str">
        <f>IF(Table1[[#This Row],[SOS VS SOM]]=100%,"Pay","Don't pay")</f>
        <v>Don't pay</v>
      </c>
    </row>
    <row r="76" spans="1:5" x14ac:dyDescent="0.35">
      <c r="A76" s="15" t="s">
        <v>129</v>
      </c>
      <c r="B76" s="16">
        <v>0.16250000000000001</v>
      </c>
      <c r="C76" s="16">
        <v>0.35923076923076924</v>
      </c>
      <c r="D76" s="16">
        <v>0</v>
      </c>
      <c r="E76" s="16" t="str">
        <f>IF(Table1[[#This Row],[SOS VS SOM]]=100%,"Pay","Don't pay")</f>
        <v>Don't pay</v>
      </c>
    </row>
    <row r="77" spans="1:5" x14ac:dyDescent="0.35">
      <c r="A77" s="15" t="s">
        <v>192</v>
      </c>
      <c r="B77" s="16">
        <v>0.32468750000000002</v>
      </c>
      <c r="C77" s="16">
        <v>0.26214285714285712</v>
      </c>
      <c r="D77" s="16">
        <v>1</v>
      </c>
      <c r="E77" s="16" t="str">
        <f>IF(Table1[[#This Row],[SOS VS SOM]]=100%,"Pay","Don't pay")</f>
        <v>Pay</v>
      </c>
    </row>
    <row r="78" spans="1:5" x14ac:dyDescent="0.35">
      <c r="A78" s="15" t="s">
        <v>33</v>
      </c>
      <c r="B78" s="16">
        <v>0.21437500000000001</v>
      </c>
      <c r="C78" s="16">
        <v>0.20214285714285715</v>
      </c>
      <c r="D78" s="16">
        <v>1</v>
      </c>
      <c r="E78" s="16" t="str">
        <f>IF(Table1[[#This Row],[SOS VS SOM]]=100%,"Pay","Don't pay")</f>
        <v>Pay</v>
      </c>
    </row>
    <row r="79" spans="1:5" x14ac:dyDescent="0.35">
      <c r="A79" s="15" t="s">
        <v>24</v>
      </c>
      <c r="B79" s="16">
        <v>0.308</v>
      </c>
      <c r="C79" s="16">
        <v>0.29666666666666669</v>
      </c>
      <c r="D79" s="16">
        <v>1</v>
      </c>
      <c r="E79" s="16" t="str">
        <f>IF(Table1[[#This Row],[SOS VS SOM]]=100%,"Pay","Don't pay")</f>
        <v>Pay</v>
      </c>
    </row>
    <row r="80" spans="1:5" x14ac:dyDescent="0.35">
      <c r="A80" s="15" t="s">
        <v>169</v>
      </c>
      <c r="B80" s="16">
        <v>0.39100000000000001</v>
      </c>
      <c r="C80" s="16">
        <v>0.34400000000000003</v>
      </c>
      <c r="D80" s="16">
        <v>1</v>
      </c>
      <c r="E80" s="16" t="str">
        <f>IF(Table1[[#This Row],[SOS VS SOM]]=100%,"Pay","Don't pay")</f>
        <v>Pay</v>
      </c>
    </row>
    <row r="81" spans="1:5" x14ac:dyDescent="0.35">
      <c r="A81" s="15" t="s">
        <v>178</v>
      </c>
      <c r="B81" s="16">
        <v>0.30416666666666675</v>
      </c>
      <c r="C81" s="16">
        <v>0.29241379310344834</v>
      </c>
      <c r="D81" s="16">
        <v>1</v>
      </c>
      <c r="E81" s="16" t="str">
        <f>IF(Table1[[#This Row],[SOS VS SOM]]=100%,"Pay","Don't pay")</f>
        <v>Pay</v>
      </c>
    </row>
    <row r="82" spans="1:5" x14ac:dyDescent="0.35">
      <c r="A82" s="15" t="s">
        <v>115</v>
      </c>
      <c r="B82" s="16">
        <v>0.24124999999999999</v>
      </c>
      <c r="C82" s="16">
        <v>0.39615384615384613</v>
      </c>
      <c r="D82" s="16">
        <v>0</v>
      </c>
      <c r="E82" s="16" t="str">
        <f>IF(Table1[[#This Row],[SOS VS SOM]]=100%,"Pay","Don't pay")</f>
        <v>Don't pay</v>
      </c>
    </row>
    <row r="83" spans="1:5" x14ac:dyDescent="0.35">
      <c r="A83" s="15" t="s">
        <v>168</v>
      </c>
      <c r="B83" s="16">
        <v>0.29375000000000001</v>
      </c>
      <c r="C83" s="16">
        <v>0.32866666666666666</v>
      </c>
      <c r="D83" s="16">
        <v>0</v>
      </c>
      <c r="E83" s="16" t="str">
        <f>IF(Table1[[#This Row],[SOS VS SOM]]=100%,"Pay","Don't pay")</f>
        <v>Don't pay</v>
      </c>
    </row>
    <row r="84" spans="1:5" x14ac:dyDescent="0.35">
      <c r="A84" s="15" t="s">
        <v>179</v>
      </c>
      <c r="B84" s="16">
        <v>0.37093750000000009</v>
      </c>
      <c r="C84" s="16">
        <v>0.35214285714285715</v>
      </c>
      <c r="D84" s="16">
        <v>1</v>
      </c>
      <c r="E84" s="16" t="str">
        <f>IF(Table1[[#This Row],[SOS VS SOM]]=100%,"Pay","Don't pay")</f>
        <v>Pay</v>
      </c>
    </row>
    <row r="85" spans="1:5" x14ac:dyDescent="0.35">
      <c r="A85" s="15" t="s">
        <v>42</v>
      </c>
      <c r="B85" s="16">
        <v>0.239375</v>
      </c>
      <c r="C85" s="16">
        <v>0.26615384615384613</v>
      </c>
      <c r="D85" s="16">
        <v>0</v>
      </c>
      <c r="E85" s="16" t="str">
        <f>IF(Table1[[#This Row],[SOS VS SOM]]=100%,"Pay","Don't pay")</f>
        <v>Don't pay</v>
      </c>
    </row>
    <row r="86" spans="1:5" x14ac:dyDescent="0.35">
      <c r="A86" s="15" t="s">
        <v>132</v>
      </c>
      <c r="B86" s="16">
        <v>0.28325</v>
      </c>
      <c r="C86" s="16">
        <v>0.36333333333333329</v>
      </c>
      <c r="D86" s="16">
        <v>0</v>
      </c>
      <c r="E86" s="16" t="str">
        <f>IF(Table1[[#This Row],[SOS VS SOM]]=100%,"Pay","Don't pay")</f>
        <v>Don't pay</v>
      </c>
    </row>
    <row r="87" spans="1:5" x14ac:dyDescent="0.35">
      <c r="A87" s="15" t="s">
        <v>56</v>
      </c>
      <c r="B87" s="16">
        <v>0.33999999999999997</v>
      </c>
      <c r="C87" s="16">
        <v>0.34583333333333338</v>
      </c>
      <c r="D87" s="16">
        <v>0</v>
      </c>
      <c r="E87" s="16" t="str">
        <f>IF(Table1[[#This Row],[SOS VS SOM]]=100%,"Pay","Don't pay")</f>
        <v>Don't pay</v>
      </c>
    </row>
    <row r="88" spans="1:5" x14ac:dyDescent="0.35">
      <c r="A88" s="15" t="s">
        <v>138</v>
      </c>
      <c r="B88" s="16">
        <v>0.23437500000000003</v>
      </c>
      <c r="C88" s="16">
        <v>0.32214285714285712</v>
      </c>
      <c r="D88" s="16">
        <v>0</v>
      </c>
      <c r="E88" s="16" t="str">
        <f>IF(Table1[[#This Row],[SOS VS SOM]]=100%,"Pay","Don't pay")</f>
        <v>Don't pay</v>
      </c>
    </row>
    <row r="89" spans="1:5" x14ac:dyDescent="0.35">
      <c r="A89" s="15" t="s">
        <v>12</v>
      </c>
      <c r="B89" s="16">
        <v>0.27375000000000005</v>
      </c>
      <c r="C89" s="16">
        <v>0.33733333333333332</v>
      </c>
      <c r="D89" s="16">
        <v>0</v>
      </c>
      <c r="E89" s="16" t="str">
        <f>IF(Table1[[#This Row],[SOS VS SOM]]=100%,"Pay","Don't pay")</f>
        <v>Don't pay</v>
      </c>
    </row>
    <row r="90" spans="1:5" x14ac:dyDescent="0.35">
      <c r="A90" s="15" t="s">
        <v>77</v>
      </c>
      <c r="B90" s="16">
        <v>0.21562500000000004</v>
      </c>
      <c r="C90" s="16">
        <v>0.37714285714285717</v>
      </c>
      <c r="D90" s="16">
        <v>0</v>
      </c>
      <c r="E90" s="16" t="str">
        <f>IF(Table1[[#This Row],[SOS VS SOM]]=100%,"Pay","Don't pay")</f>
        <v>Don't pay</v>
      </c>
    </row>
    <row r="91" spans="1:5" x14ac:dyDescent="0.35">
      <c r="A91" s="15" t="s">
        <v>164</v>
      </c>
      <c r="B91" s="16">
        <v>0.40593749999999995</v>
      </c>
      <c r="C91" s="16">
        <v>0.42666666666666669</v>
      </c>
      <c r="D91" s="16">
        <v>0</v>
      </c>
      <c r="E91" s="16" t="str">
        <f>IF(Table1[[#This Row],[SOS VS SOM]]=100%,"Pay","Don't pay")</f>
        <v>Don't pay</v>
      </c>
    </row>
    <row r="92" spans="1:5" x14ac:dyDescent="0.35">
      <c r="A92" s="15" t="s">
        <v>110</v>
      </c>
      <c r="B92" s="16">
        <v>0.23708333333333334</v>
      </c>
      <c r="C92" s="16">
        <v>0.3213333333333333</v>
      </c>
      <c r="D92" s="16">
        <v>0</v>
      </c>
      <c r="E92" s="16" t="str">
        <f>IF(Table1[[#This Row],[SOS VS SOM]]=100%,"Pay","Don't pay")</f>
        <v>Don't pay</v>
      </c>
    </row>
    <row r="93" spans="1:5" x14ac:dyDescent="0.35">
      <c r="A93" s="15" t="s">
        <v>51</v>
      </c>
      <c r="B93" s="16">
        <v>0.34100000000000003</v>
      </c>
      <c r="C93" s="16">
        <v>0.38571428571428568</v>
      </c>
      <c r="D93" s="16">
        <v>0</v>
      </c>
      <c r="E93" s="16" t="str">
        <f>IF(Table1[[#This Row],[SOS VS SOM]]=100%,"Pay","Don't pay")</f>
        <v>Don't pay</v>
      </c>
    </row>
    <row r="94" spans="1:5" x14ac:dyDescent="0.35">
      <c r="A94" s="15" t="s">
        <v>142</v>
      </c>
      <c r="B94" s="16">
        <v>0.32999999999999996</v>
      </c>
      <c r="C94" s="16">
        <v>0.38733333333333336</v>
      </c>
      <c r="D94" s="16">
        <v>0</v>
      </c>
      <c r="E94" s="16" t="str">
        <f>IF(Table1[[#This Row],[SOS VS SOM]]=100%,"Pay","Don't pay")</f>
        <v>Don't pay</v>
      </c>
    </row>
    <row r="95" spans="1:5" x14ac:dyDescent="0.35">
      <c r="A95" s="15" t="s">
        <v>15</v>
      </c>
      <c r="B95" s="16">
        <v>0.28562500000000002</v>
      </c>
      <c r="C95" s="16">
        <v>0.36571428571428571</v>
      </c>
      <c r="D95" s="16">
        <v>0</v>
      </c>
      <c r="E95" s="16" t="str">
        <f>IF(Table1[[#This Row],[SOS VS SOM]]=100%,"Pay","Don't pay")</f>
        <v>Don't pay</v>
      </c>
    </row>
    <row r="96" spans="1:5" x14ac:dyDescent="0.35">
      <c r="A96" s="15" t="s">
        <v>163</v>
      </c>
      <c r="B96" s="16">
        <v>0.35583333333333339</v>
      </c>
      <c r="C96" s="16">
        <v>0.39733333333333332</v>
      </c>
      <c r="D96" s="16">
        <v>0</v>
      </c>
      <c r="E96" s="16" t="str">
        <f>IF(Table1[[#This Row],[SOS VS SOM]]=100%,"Pay","Don't pay")</f>
        <v>Don't pay</v>
      </c>
    </row>
    <row r="97" spans="1:5" x14ac:dyDescent="0.35">
      <c r="A97" s="15" t="s">
        <v>176</v>
      </c>
      <c r="B97" s="16">
        <v>0.22875000000000001</v>
      </c>
      <c r="C97" s="16">
        <v>0.42571428571428577</v>
      </c>
      <c r="D97" s="16">
        <v>0</v>
      </c>
      <c r="E97" s="16" t="str">
        <f>IF(Table1[[#This Row],[SOS VS SOM]]=100%,"Pay","Don't pay")</f>
        <v>Don't pay</v>
      </c>
    </row>
    <row r="98" spans="1:5" x14ac:dyDescent="0.35">
      <c r="A98" s="15" t="s">
        <v>53</v>
      </c>
      <c r="B98" s="16">
        <v>0.37041666666666678</v>
      </c>
      <c r="C98" s="16">
        <v>0.44733333333333331</v>
      </c>
      <c r="D98" s="16">
        <v>0</v>
      </c>
      <c r="E98" s="16" t="str">
        <f>IF(Table1[[#This Row],[SOS VS SOM]]=100%,"Pay","Don't pay")</f>
        <v>Don't pay</v>
      </c>
    </row>
    <row r="99" spans="1:5" x14ac:dyDescent="0.35">
      <c r="A99" s="15" t="s">
        <v>127</v>
      </c>
      <c r="B99" s="16">
        <v>0.26250000000000001</v>
      </c>
      <c r="C99" s="16">
        <v>0.36307692307692307</v>
      </c>
      <c r="D99" s="16">
        <v>0</v>
      </c>
      <c r="E99" s="16" t="str">
        <f>IF(Table1[[#This Row],[SOS VS SOM]]=100%,"Pay","Don't pay")</f>
        <v>Don't pay</v>
      </c>
    </row>
    <row r="100" spans="1:5" x14ac:dyDescent="0.35">
      <c r="A100" s="15" t="s">
        <v>193</v>
      </c>
      <c r="B100" s="16">
        <v>0.38749999999999996</v>
      </c>
      <c r="C100" s="16">
        <v>0.42538461538461542</v>
      </c>
      <c r="D100" s="16">
        <v>0</v>
      </c>
      <c r="E100" s="16" t="str">
        <f>IF(Table1[[#This Row],[SOS VS SOM]]=100%,"Pay","Don't pay")</f>
        <v>Don't pay</v>
      </c>
    </row>
    <row r="101" spans="1:5" x14ac:dyDescent="0.35">
      <c r="A101" s="15" t="s">
        <v>121</v>
      </c>
      <c r="B101" s="16">
        <v>0.2508333333333333</v>
      </c>
      <c r="C101" s="16">
        <v>0.30071428571428577</v>
      </c>
      <c r="D101" s="16">
        <v>0</v>
      </c>
      <c r="E101" s="16" t="str">
        <f>IF(Table1[[#This Row],[SOS VS SOM]]=100%,"Pay","Don't pay")</f>
        <v>Don't pay</v>
      </c>
    </row>
    <row r="102" spans="1:5" x14ac:dyDescent="0.35">
      <c r="A102" s="15" t="s">
        <v>131</v>
      </c>
      <c r="B102" s="16">
        <v>0.5375000000000002</v>
      </c>
      <c r="C102" s="16">
        <v>0.44400000000000001</v>
      </c>
      <c r="D102" s="16">
        <v>1</v>
      </c>
      <c r="E102" s="16" t="str">
        <f>IF(Table1[[#This Row],[SOS VS SOM]]=100%,"Pay","Don't pay")</f>
        <v>Pay</v>
      </c>
    </row>
    <row r="103" spans="1:5" x14ac:dyDescent="0.35">
      <c r="A103" s="15" t="s">
        <v>125</v>
      </c>
      <c r="B103" s="16">
        <v>0.28375</v>
      </c>
      <c r="C103" s="16">
        <v>0.22571428571428573</v>
      </c>
      <c r="D103" s="16">
        <v>1</v>
      </c>
      <c r="E103" s="16" t="str">
        <f>IF(Table1[[#This Row],[SOS VS SOM]]=100%,"Pay","Don't pay")</f>
        <v>Pay</v>
      </c>
    </row>
    <row r="104" spans="1:5" x14ac:dyDescent="0.35">
      <c r="A104" s="15" t="s">
        <v>73</v>
      </c>
      <c r="B104" s="16">
        <v>0.24145833333333341</v>
      </c>
      <c r="C104" s="16">
        <v>0.26142857142857145</v>
      </c>
      <c r="D104" s="16">
        <v>0</v>
      </c>
      <c r="E104" s="16" t="str">
        <f>IF(Table1[[#This Row],[SOS VS SOM]]=100%,"Pay","Don't pay")</f>
        <v>Don't pay</v>
      </c>
    </row>
    <row r="105" spans="1:5" x14ac:dyDescent="0.35">
      <c r="A105" s="15" t="s">
        <v>63</v>
      </c>
      <c r="B105" s="16">
        <v>0.26750000000000007</v>
      </c>
      <c r="C105" s="16">
        <v>0.41615384615384615</v>
      </c>
      <c r="D105" s="16">
        <v>0</v>
      </c>
      <c r="E105" s="16" t="str">
        <f>IF(Table1[[#This Row],[SOS VS SOM]]=100%,"Pay","Don't pay")</f>
        <v>Don't pay</v>
      </c>
    </row>
    <row r="106" spans="1:5" x14ac:dyDescent="0.35">
      <c r="A106" s="15" t="s">
        <v>103</v>
      </c>
      <c r="B106" s="16">
        <v>0.25416666666666671</v>
      </c>
      <c r="C106" s="16">
        <v>0.42333333333333328</v>
      </c>
      <c r="D106" s="16">
        <v>0</v>
      </c>
      <c r="E106" s="16" t="str">
        <f>IF(Table1[[#This Row],[SOS VS SOM]]=100%,"Pay","Don't pay")</f>
        <v>Don't pay</v>
      </c>
    </row>
    <row r="107" spans="1:5" x14ac:dyDescent="0.35">
      <c r="A107" s="15" t="s">
        <v>173</v>
      </c>
      <c r="B107" s="16">
        <v>0.26812500000000006</v>
      </c>
      <c r="C107" s="16">
        <v>0.28066666666666668</v>
      </c>
      <c r="D107" s="16">
        <v>0</v>
      </c>
      <c r="E107" s="16" t="str">
        <f>IF(Table1[[#This Row],[SOS VS SOM]]=100%,"Pay","Don't pay")</f>
        <v>Don't pay</v>
      </c>
    </row>
    <row r="108" spans="1:5" x14ac:dyDescent="0.35">
      <c r="A108" s="15" t="s">
        <v>177</v>
      </c>
      <c r="B108" s="16">
        <v>0.24708333333333332</v>
      </c>
      <c r="C108" s="16">
        <v>0.23076923076923078</v>
      </c>
      <c r="D108" s="16">
        <v>1</v>
      </c>
      <c r="E108" s="16" t="str">
        <f>IF(Table1[[#This Row],[SOS VS SOM]]=100%,"Pay","Don't pay")</f>
        <v>Pay</v>
      </c>
    </row>
    <row r="109" spans="1:5" x14ac:dyDescent="0.35">
      <c r="A109" s="15" t="s">
        <v>144</v>
      </c>
      <c r="B109" s="16">
        <v>0.22229166666666669</v>
      </c>
      <c r="C109" s="16">
        <v>0.29428571428571437</v>
      </c>
      <c r="D109" s="16">
        <v>0</v>
      </c>
      <c r="E109" s="16" t="str">
        <f>IF(Table1[[#This Row],[SOS VS SOM]]=100%,"Pay","Don't pay")</f>
        <v>Don't pay</v>
      </c>
    </row>
    <row r="110" spans="1:5" x14ac:dyDescent="0.35">
      <c r="A110" s="15" t="s">
        <v>122</v>
      </c>
      <c r="B110" s="16">
        <v>0.24406250000000004</v>
      </c>
      <c r="C110" s="16">
        <v>0.35066666666666663</v>
      </c>
      <c r="D110" s="16">
        <v>0</v>
      </c>
      <c r="E110" s="16" t="str">
        <f>IF(Table1[[#This Row],[SOS VS SOM]]=100%,"Pay","Don't pay")</f>
        <v>Don't pay</v>
      </c>
    </row>
    <row r="111" spans="1:5" x14ac:dyDescent="0.35">
      <c r="A111" s="15" t="s">
        <v>60</v>
      </c>
      <c r="B111" s="16">
        <v>0.28958333333333336</v>
      </c>
      <c r="C111" s="16">
        <v>0.46333333333333332</v>
      </c>
      <c r="D111" s="16">
        <v>0</v>
      </c>
      <c r="E111" s="16" t="str">
        <f>IF(Table1[[#This Row],[SOS VS SOM]]=100%,"Pay","Don't pay")</f>
        <v>Don't pay</v>
      </c>
    </row>
    <row r="112" spans="1:5" x14ac:dyDescent="0.35">
      <c r="A112" s="15" t="s">
        <v>141</v>
      </c>
      <c r="B112" s="16">
        <v>0.268125</v>
      </c>
      <c r="C112" s="16">
        <v>0.37600000000000006</v>
      </c>
      <c r="D112" s="16">
        <v>0</v>
      </c>
      <c r="E112" s="16" t="str">
        <f>IF(Table1[[#This Row],[SOS VS SOM]]=100%,"Pay","Don't pay")</f>
        <v>Don't pay</v>
      </c>
    </row>
    <row r="113" spans="1:5" x14ac:dyDescent="0.35">
      <c r="A113" s="15" t="s">
        <v>166</v>
      </c>
      <c r="B113" s="16">
        <v>0.34749999999999992</v>
      </c>
      <c r="C113" s="16">
        <v>0.4121428571428572</v>
      </c>
      <c r="D113" s="16">
        <v>0</v>
      </c>
      <c r="E113" s="16" t="str">
        <f>IF(Table1[[#This Row],[SOS VS SOM]]=100%,"Pay","Don't pay")</f>
        <v>Don't pay</v>
      </c>
    </row>
    <row r="114" spans="1:5" x14ac:dyDescent="0.35">
      <c r="A114" s="15" t="s">
        <v>117</v>
      </c>
      <c r="B114" s="16">
        <v>0.40708333333333341</v>
      </c>
      <c r="C114" s="16">
        <v>0.53083333333333327</v>
      </c>
      <c r="D114" s="16">
        <v>0</v>
      </c>
      <c r="E114" s="16" t="str">
        <f>IF(Table1[[#This Row],[SOS VS SOM]]=100%,"Pay","Don't pay")</f>
        <v>Don't pay</v>
      </c>
    </row>
    <row r="115" spans="1:5" x14ac:dyDescent="0.35">
      <c r="A115" s="15" t="s">
        <v>123</v>
      </c>
      <c r="B115" s="16">
        <v>0.30250000000000005</v>
      </c>
      <c r="C115" s="16">
        <v>0.36599999999999994</v>
      </c>
      <c r="D115" s="16">
        <v>0</v>
      </c>
      <c r="E115" s="16" t="str">
        <f>IF(Table1[[#This Row],[SOS VS SOM]]=100%,"Pay","Don't pay")</f>
        <v>Don't pay</v>
      </c>
    </row>
    <row r="116" spans="1:5" x14ac:dyDescent="0.35">
      <c r="A116" s="15" t="s">
        <v>96</v>
      </c>
      <c r="B116" s="16">
        <v>0.361875</v>
      </c>
      <c r="C116" s="16">
        <v>0.42800000000000005</v>
      </c>
      <c r="D116" s="16">
        <v>0</v>
      </c>
      <c r="E116" s="16" t="str">
        <f>IF(Table1[[#This Row],[SOS VS SOM]]=100%,"Pay","Don't pay")</f>
        <v>Don't pay</v>
      </c>
    </row>
    <row r="117" spans="1:5" x14ac:dyDescent="0.35">
      <c r="A117" s="15" t="s">
        <v>14</v>
      </c>
      <c r="B117" s="16">
        <v>0.24625</v>
      </c>
      <c r="C117" s="16">
        <v>0.36285714285714288</v>
      </c>
      <c r="D117" s="16">
        <v>0</v>
      </c>
      <c r="E117" s="16" t="str">
        <f>IF(Table1[[#This Row],[SOS VS SOM]]=100%,"Pay","Don't pay")</f>
        <v>Don't pay</v>
      </c>
    </row>
    <row r="118" spans="1:5" x14ac:dyDescent="0.35">
      <c r="A118" s="15" t="s">
        <v>58</v>
      </c>
      <c r="B118" s="16">
        <v>0.204375</v>
      </c>
      <c r="C118" s="16">
        <v>0.29923076923076924</v>
      </c>
      <c r="D118" s="16">
        <v>0</v>
      </c>
      <c r="E118" s="16" t="str">
        <f>IF(Table1[[#This Row],[SOS VS SOM]]=100%,"Pay","Don't pay")</f>
        <v>Don't pay</v>
      </c>
    </row>
    <row r="119" spans="1:5" x14ac:dyDescent="0.35">
      <c r="A119" s="15" t="s">
        <v>55</v>
      </c>
      <c r="B119" s="16">
        <v>0</v>
      </c>
      <c r="C119" s="16">
        <v>0.25571428571428573</v>
      </c>
      <c r="D119" s="16">
        <v>0</v>
      </c>
      <c r="E119" s="16" t="str">
        <f>IF(Table1[[#This Row],[SOS VS SOM]]=100%,"Pay","Don't pay")</f>
        <v>Don't pay</v>
      </c>
    </row>
    <row r="120" spans="1:5" x14ac:dyDescent="0.35">
      <c r="A120" s="15" t="s">
        <v>27</v>
      </c>
      <c r="B120" s="16">
        <v>0.31625000000000003</v>
      </c>
      <c r="C120" s="16">
        <v>0.3223076923076923</v>
      </c>
      <c r="D120" s="16">
        <v>0</v>
      </c>
      <c r="E120" s="16" t="str">
        <f>IF(Table1[[#This Row],[SOS VS SOM]]=100%,"Pay","Don't pay")</f>
        <v>Don't pay</v>
      </c>
    </row>
    <row r="121" spans="1:5" x14ac:dyDescent="0.35">
      <c r="A121" s="15" t="s">
        <v>186</v>
      </c>
      <c r="B121" s="16">
        <v>0.3116666666666667</v>
      </c>
      <c r="C121" s="16">
        <v>0.43615384615384623</v>
      </c>
      <c r="D121" s="16">
        <v>0</v>
      </c>
      <c r="E121" s="16" t="str">
        <f>IF(Table1[[#This Row],[SOS VS SOM]]=100%,"Pay","Don't pay")</f>
        <v>Don't pay</v>
      </c>
    </row>
    <row r="122" spans="1:5" x14ac:dyDescent="0.35">
      <c r="A122" s="15" t="s">
        <v>165</v>
      </c>
      <c r="B122" s="16">
        <v>0.23687500000000003</v>
      </c>
      <c r="C122" s="16">
        <v>0.26153846153846155</v>
      </c>
      <c r="D122" s="16">
        <v>0</v>
      </c>
      <c r="E122" s="16" t="str">
        <f>IF(Table1[[#This Row],[SOS VS SOM]]=100%,"Pay","Don't pay")</f>
        <v>Don't pay</v>
      </c>
    </row>
    <row r="123" spans="1:5" x14ac:dyDescent="0.35">
      <c r="A123" s="15" t="s">
        <v>191</v>
      </c>
      <c r="B123" s="16">
        <v>0.25500000000000006</v>
      </c>
      <c r="C123" s="16">
        <v>0.36</v>
      </c>
      <c r="D123" s="16">
        <v>0</v>
      </c>
      <c r="E123" s="16" t="str">
        <f>IF(Table1[[#This Row],[SOS VS SOM]]=100%,"Pay","Don't pay")</f>
        <v>Don't pay</v>
      </c>
    </row>
    <row r="124" spans="1:5" x14ac:dyDescent="0.35">
      <c r="A124" s="15" t="s">
        <v>69</v>
      </c>
      <c r="B124" s="16">
        <v>0.26800000000000002</v>
      </c>
      <c r="C124" s="16">
        <v>0.38714285714285707</v>
      </c>
      <c r="D124" s="16">
        <v>0</v>
      </c>
      <c r="E124" s="16" t="str">
        <f>IF(Table1[[#This Row],[SOS VS SOM]]=100%,"Pay","Don't pay")</f>
        <v>Don't pay</v>
      </c>
    </row>
    <row r="125" spans="1:5" x14ac:dyDescent="0.35">
      <c r="A125" s="15" t="s">
        <v>45</v>
      </c>
      <c r="B125" s="16">
        <v>0.14218750000000002</v>
      </c>
      <c r="C125" s="16">
        <v>0.35066666666666674</v>
      </c>
      <c r="D125" s="16">
        <v>0</v>
      </c>
      <c r="E125" s="16" t="str">
        <f>IF(Table1[[#This Row],[SOS VS SOM]]=100%,"Pay","Don't pay")</f>
        <v>Don't pay</v>
      </c>
    </row>
    <row r="126" spans="1:5" x14ac:dyDescent="0.35">
      <c r="A126" s="15" t="s">
        <v>82</v>
      </c>
      <c r="B126" s="16">
        <v>0.21625</v>
      </c>
      <c r="C126" s="16">
        <v>0.43133333333333329</v>
      </c>
      <c r="D126" s="16">
        <v>0</v>
      </c>
      <c r="E126" s="16" t="str">
        <f>IF(Table1[[#This Row],[SOS VS SOM]]=100%,"Pay","Don't pay")</f>
        <v>Don't pay</v>
      </c>
    </row>
    <row r="127" spans="1:5" x14ac:dyDescent="0.35">
      <c r="A127" s="15" t="s">
        <v>70</v>
      </c>
      <c r="B127" s="16">
        <v>0.2555</v>
      </c>
      <c r="C127" s="16">
        <v>0.35357142857142859</v>
      </c>
      <c r="D127" s="16">
        <v>0</v>
      </c>
      <c r="E127" s="16" t="str">
        <f>IF(Table1[[#This Row],[SOS VS SOM]]=100%,"Pay","Don't pay")</f>
        <v>Don't pay</v>
      </c>
    </row>
    <row r="128" spans="1:5" x14ac:dyDescent="0.35">
      <c r="A128" s="15" t="s">
        <v>81</v>
      </c>
      <c r="B128" s="16">
        <v>0.33624999999999999</v>
      </c>
      <c r="C128" s="16">
        <v>0.32090909090909087</v>
      </c>
      <c r="D128" s="16">
        <v>1</v>
      </c>
      <c r="E128" s="16" t="str">
        <f>IF(Table1[[#This Row],[SOS VS SOM]]=100%,"Pay","Don't pay")</f>
        <v>Pay</v>
      </c>
    </row>
    <row r="129" spans="1:5" x14ac:dyDescent="0.35">
      <c r="A129" s="15" t="s">
        <v>37</v>
      </c>
      <c r="B129" s="16">
        <v>0.231875</v>
      </c>
      <c r="C129" s="16">
        <v>0.32727272727272727</v>
      </c>
      <c r="D129" s="16">
        <v>0</v>
      </c>
      <c r="E129" s="16" t="str">
        <f>IF(Table1[[#This Row],[SOS VS SOM]]=100%,"Pay","Don't pay")</f>
        <v>Don't pay</v>
      </c>
    </row>
    <row r="130" spans="1:5" x14ac:dyDescent="0.35">
      <c r="A130" s="15" t="s">
        <v>46</v>
      </c>
      <c r="B130" s="16">
        <v>0.15145833333333333</v>
      </c>
      <c r="C130" s="16">
        <v>0.32800000000000007</v>
      </c>
      <c r="D130" s="16">
        <v>0</v>
      </c>
      <c r="E130" s="16" t="str">
        <f>IF(Table1[[#This Row],[SOS VS SOM]]=100%,"Pay","Don't pay")</f>
        <v>Don't pay</v>
      </c>
    </row>
    <row r="131" spans="1:5" x14ac:dyDescent="0.35">
      <c r="A131" s="15" t="s">
        <v>85</v>
      </c>
      <c r="B131" s="16">
        <v>0.23124999999999998</v>
      </c>
      <c r="C131" s="16">
        <v>0.42571428571428571</v>
      </c>
      <c r="D131" s="16">
        <v>0</v>
      </c>
      <c r="E131" s="16" t="str">
        <f>IF(Table1[[#This Row],[SOS VS SOM]]=100%,"Pay","Don't pay")</f>
        <v>Don't pay</v>
      </c>
    </row>
    <row r="132" spans="1:5" x14ac:dyDescent="0.35">
      <c r="A132" s="15" t="s">
        <v>161</v>
      </c>
      <c r="B132" s="16">
        <v>0.40000000000000013</v>
      </c>
      <c r="C132" s="16">
        <v>0.37133333333333329</v>
      </c>
      <c r="D132" s="16">
        <v>1</v>
      </c>
      <c r="E132" s="16" t="str">
        <f>IF(Table1[[#This Row],[SOS VS SOM]]=100%,"Pay","Don't pay")</f>
        <v>Pay</v>
      </c>
    </row>
    <row r="133" spans="1:5" x14ac:dyDescent="0.35">
      <c r="A133" s="15" t="s">
        <v>49</v>
      </c>
      <c r="B133" s="16">
        <v>0.36875000000000002</v>
      </c>
      <c r="C133" s="16">
        <v>0.46642857142857147</v>
      </c>
      <c r="D133" s="16">
        <v>0</v>
      </c>
      <c r="E133" s="16" t="str">
        <f>IF(Table1[[#This Row],[SOS VS SOM]]=100%,"Pay","Don't pay")</f>
        <v>Don't pay</v>
      </c>
    </row>
    <row r="134" spans="1:5" x14ac:dyDescent="0.35">
      <c r="A134" s="15" t="s">
        <v>104</v>
      </c>
      <c r="B134" s="16">
        <v>0.48249999999999998</v>
      </c>
      <c r="C134" s="16">
        <v>0.52928571428571425</v>
      </c>
      <c r="D134" s="16">
        <v>0</v>
      </c>
      <c r="E134" s="16" t="str">
        <f>IF(Table1[[#This Row],[SOS VS SOM]]=100%,"Pay","Don't pay")</f>
        <v>Don't pay</v>
      </c>
    </row>
    <row r="135" spans="1:5" x14ac:dyDescent="0.35">
      <c r="A135" s="15" t="s">
        <v>147</v>
      </c>
      <c r="B135" s="16">
        <v>0</v>
      </c>
      <c r="C135" s="16">
        <v>0.43857142857142861</v>
      </c>
      <c r="D135" s="16">
        <v>0</v>
      </c>
      <c r="E135" s="16" t="str">
        <f>IF(Table1[[#This Row],[SOS VS SOM]]=100%,"Pay","Don't pay")</f>
        <v>Don't pay</v>
      </c>
    </row>
    <row r="136" spans="1:5" x14ac:dyDescent="0.35">
      <c r="A136" s="15" t="s">
        <v>44</v>
      </c>
      <c r="B136" s="16">
        <v>0.25374999999999998</v>
      </c>
      <c r="C136" s="16">
        <v>0.33214285714285718</v>
      </c>
      <c r="D136" s="16">
        <v>0</v>
      </c>
      <c r="E136" s="16" t="str">
        <f>IF(Table1[[#This Row],[SOS VS SOM]]=100%,"Pay","Don't pay")</f>
        <v>Don't pay</v>
      </c>
    </row>
    <row r="137" spans="1:5" x14ac:dyDescent="0.35">
      <c r="A137" s="15" t="s">
        <v>66</v>
      </c>
      <c r="B137" s="16">
        <v>0.48625000000000002</v>
      </c>
      <c r="C137" s="16">
        <v>0.55153846153846142</v>
      </c>
      <c r="D137" s="16">
        <v>0</v>
      </c>
      <c r="E137" s="16" t="str">
        <f>IF(Table1[[#This Row],[SOS VS SOM]]=100%,"Pay","Don't pay")</f>
        <v>Don't pay</v>
      </c>
    </row>
    <row r="138" spans="1:5" x14ac:dyDescent="0.35">
      <c r="A138" s="15" t="s">
        <v>160</v>
      </c>
      <c r="B138" s="16">
        <v>0.28625</v>
      </c>
      <c r="C138" s="16">
        <v>0.2392307692307693</v>
      </c>
      <c r="D138" s="16">
        <v>1</v>
      </c>
      <c r="E138" s="16" t="str">
        <f>IF(Table1[[#This Row],[SOS VS SOM]]=100%,"Pay","Don't pay")</f>
        <v>Pay</v>
      </c>
    </row>
    <row r="139" spans="1:5" x14ac:dyDescent="0.35">
      <c r="A139" s="15" t="s">
        <v>31</v>
      </c>
      <c r="B139" s="16">
        <v>0.25437499999999991</v>
      </c>
      <c r="C139" s="16">
        <v>0.43230769230769234</v>
      </c>
      <c r="D139" s="16">
        <v>0</v>
      </c>
      <c r="E139" s="16" t="str">
        <f>IF(Table1[[#This Row],[SOS VS SOM]]=100%,"Pay","Don't pay")</f>
        <v>Don't pay</v>
      </c>
    </row>
    <row r="140" spans="1:5" x14ac:dyDescent="0.35">
      <c r="A140" s="15" t="s">
        <v>92</v>
      </c>
      <c r="B140" s="16">
        <v>0.48333333333333339</v>
      </c>
      <c r="C140" s="16">
        <v>0.45333333333333331</v>
      </c>
      <c r="D140" s="16">
        <v>1</v>
      </c>
      <c r="E140" s="16" t="str">
        <f>IF(Table1[[#This Row],[SOS VS SOM]]=100%,"Pay","Don't pay")</f>
        <v>Pay</v>
      </c>
    </row>
    <row r="141" spans="1:5" x14ac:dyDescent="0.35">
      <c r="A141" s="15" t="s">
        <v>71</v>
      </c>
      <c r="B141" s="16">
        <v>0.31375000000000008</v>
      </c>
      <c r="C141" s="16">
        <v>0.48866666666666675</v>
      </c>
      <c r="D141" s="16">
        <v>0</v>
      </c>
      <c r="E141" s="16" t="str">
        <f>IF(Table1[[#This Row],[SOS VS SOM]]=100%,"Pay","Don't pay")</f>
        <v>Don't pay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A20DC-6C7B-4A85-B7A5-968E7C0E8DC9}">
  <dimension ref="A3:E168"/>
  <sheetViews>
    <sheetView workbookViewId="0">
      <selection activeCell="E6" sqref="E6"/>
    </sheetView>
  </sheetViews>
  <sheetFormatPr defaultRowHeight="14.5" x14ac:dyDescent="0.35"/>
  <cols>
    <col min="1" max="1" width="39.6328125" bestFit="1" customWidth="1"/>
    <col min="2" max="2" width="15.54296875" style="1" bestFit="1" customWidth="1"/>
    <col min="3" max="5" width="11.81640625" style="1" bestFit="1" customWidth="1"/>
    <col min="6" max="6" width="12.08984375" bestFit="1" customWidth="1"/>
    <col min="7" max="7" width="16.1796875" bestFit="1" customWidth="1"/>
    <col min="8" max="8" width="12.08984375" bestFit="1" customWidth="1"/>
    <col min="9" max="9" width="21.08984375" bestFit="1" customWidth="1"/>
    <col min="10" max="10" width="17" bestFit="1" customWidth="1"/>
    <col min="11" max="11" width="16.1796875" bestFit="1" customWidth="1"/>
    <col min="12" max="12" width="25.7265625" bestFit="1" customWidth="1"/>
    <col min="13" max="13" width="12.08984375" bestFit="1" customWidth="1"/>
    <col min="14" max="14" width="21.08984375" bestFit="1" customWidth="1"/>
    <col min="15" max="15" width="30.54296875" bestFit="1" customWidth="1"/>
    <col min="16" max="16" width="17" bestFit="1" customWidth="1"/>
    <col min="17" max="17" width="25.7265625" bestFit="1" customWidth="1"/>
    <col min="18" max="18" width="12.08984375" bestFit="1" customWidth="1"/>
    <col min="19" max="19" width="21.08984375" bestFit="1" customWidth="1"/>
    <col min="20" max="20" width="23.36328125" bestFit="1" customWidth="1"/>
    <col min="21" max="21" width="30.54296875" bestFit="1" customWidth="1"/>
    <col min="22" max="22" width="17" bestFit="1" customWidth="1"/>
    <col min="23" max="23" width="7.81640625" bestFit="1" customWidth="1"/>
    <col min="24" max="24" width="4.81640625" bestFit="1" customWidth="1"/>
    <col min="25" max="25" width="8.81640625" bestFit="1" customWidth="1"/>
    <col min="26" max="26" width="7.81640625" bestFit="1" customWidth="1"/>
    <col min="27" max="28" width="11.81640625" bestFit="1" customWidth="1"/>
    <col min="29" max="29" width="6.81640625" bestFit="1" customWidth="1"/>
    <col min="30" max="30" width="8.81640625" bestFit="1" customWidth="1"/>
    <col min="31" max="31" width="6.81640625" bestFit="1" customWidth="1"/>
    <col min="32" max="32" width="7.81640625" bestFit="1" customWidth="1"/>
    <col min="33" max="34" width="11.81640625" bestFit="1" customWidth="1"/>
    <col min="35" max="35" width="7.81640625" bestFit="1" customWidth="1"/>
    <col min="36" max="38" width="8.81640625" bestFit="1" customWidth="1"/>
    <col min="39" max="39" width="11.81640625" bestFit="1" customWidth="1"/>
    <col min="40" max="40" width="8.81640625" bestFit="1" customWidth="1"/>
    <col min="41" max="41" width="7.81640625" bestFit="1" customWidth="1"/>
    <col min="42" max="42" width="11.81640625" bestFit="1" customWidth="1"/>
    <col min="43" max="43" width="9.81640625" bestFit="1" customWidth="1"/>
    <col min="44" max="45" width="7.81640625" bestFit="1" customWidth="1"/>
    <col min="46" max="46" width="11.81640625" bestFit="1" customWidth="1"/>
    <col min="47" max="47" width="6.81640625" bestFit="1" customWidth="1"/>
    <col min="48" max="49" width="7.81640625" bestFit="1" customWidth="1"/>
    <col min="50" max="50" width="11.81640625" bestFit="1" customWidth="1"/>
    <col min="51" max="51" width="8.81640625" bestFit="1" customWidth="1"/>
    <col min="52" max="52" width="7.81640625" bestFit="1" customWidth="1"/>
    <col min="53" max="53" width="11.81640625" bestFit="1" customWidth="1"/>
    <col min="54" max="54" width="8.81640625" bestFit="1" customWidth="1"/>
    <col min="55" max="55" width="5.81640625" bestFit="1" customWidth="1"/>
    <col min="56" max="56" width="6.81640625" bestFit="1" customWidth="1"/>
    <col min="57" max="57" width="7.81640625" bestFit="1" customWidth="1"/>
    <col min="58" max="58" width="9.81640625" bestFit="1" customWidth="1"/>
    <col min="59" max="60" width="6.81640625" bestFit="1" customWidth="1"/>
    <col min="61" max="61" width="5.81640625" bestFit="1" customWidth="1"/>
    <col min="62" max="63" width="8.81640625" bestFit="1" customWidth="1"/>
    <col min="64" max="64" width="4.81640625" bestFit="1" customWidth="1"/>
    <col min="65" max="65" width="7.81640625" bestFit="1" customWidth="1"/>
    <col min="66" max="66" width="8.81640625" bestFit="1" customWidth="1"/>
    <col min="67" max="67" width="7.81640625" bestFit="1" customWidth="1"/>
    <col min="68" max="68" width="8.81640625" bestFit="1" customWidth="1"/>
    <col min="69" max="70" width="11.81640625" bestFit="1" customWidth="1"/>
    <col min="71" max="72" width="7.81640625" bestFit="1" customWidth="1"/>
    <col min="73" max="73" width="8.81640625" bestFit="1" customWidth="1"/>
    <col min="74" max="75" width="7.81640625" bestFit="1" customWidth="1"/>
    <col min="76" max="76" width="11.81640625" bestFit="1" customWidth="1"/>
    <col min="77" max="79" width="7.81640625" bestFit="1" customWidth="1"/>
    <col min="80" max="80" width="9.81640625" bestFit="1" customWidth="1"/>
    <col min="81" max="81" width="6.81640625" bestFit="1" customWidth="1"/>
    <col min="82" max="82" width="11.81640625" bestFit="1" customWidth="1"/>
    <col min="83" max="83" width="8.81640625" bestFit="1" customWidth="1"/>
    <col min="84" max="84" width="5.81640625" bestFit="1" customWidth="1"/>
    <col min="85" max="85" width="8.81640625" bestFit="1" customWidth="1"/>
    <col min="86" max="86" width="11.81640625" bestFit="1" customWidth="1"/>
    <col min="87" max="88" width="7.81640625" bestFit="1" customWidth="1"/>
    <col min="89" max="89" width="11.81640625" bestFit="1" customWidth="1"/>
    <col min="90" max="91" width="7.81640625" bestFit="1" customWidth="1"/>
    <col min="92" max="92" width="9.81640625" bestFit="1" customWidth="1"/>
    <col min="93" max="93" width="7.81640625" bestFit="1" customWidth="1"/>
    <col min="94" max="95" width="6.81640625" bestFit="1" customWidth="1"/>
    <col min="96" max="96" width="8.81640625" bestFit="1" customWidth="1"/>
    <col min="97" max="97" width="7.81640625" bestFit="1" customWidth="1"/>
    <col min="98" max="98" width="9.81640625" bestFit="1" customWidth="1"/>
    <col min="99" max="99" width="5.81640625" bestFit="1" customWidth="1"/>
    <col min="100" max="100" width="9.81640625" bestFit="1" customWidth="1"/>
    <col min="101" max="101" width="4.81640625" bestFit="1" customWidth="1"/>
    <col min="102" max="102" width="11.81640625" bestFit="1" customWidth="1"/>
    <col min="103" max="103" width="7.81640625" bestFit="1" customWidth="1"/>
    <col min="104" max="104" width="4.81640625" bestFit="1" customWidth="1"/>
    <col min="105" max="105" width="5.81640625" bestFit="1" customWidth="1"/>
    <col min="106" max="106" width="9.81640625" bestFit="1" customWidth="1"/>
    <col min="107" max="107" width="11.81640625" bestFit="1" customWidth="1"/>
    <col min="108" max="108" width="6.81640625" bestFit="1" customWidth="1"/>
    <col min="109" max="109" width="4.81640625" bestFit="1" customWidth="1"/>
    <col min="110" max="111" width="11.81640625" bestFit="1" customWidth="1"/>
    <col min="112" max="112" width="6.81640625" bestFit="1" customWidth="1"/>
    <col min="113" max="113" width="8.81640625" bestFit="1" customWidth="1"/>
    <col min="114" max="114" width="11.81640625" bestFit="1" customWidth="1"/>
    <col min="115" max="116" width="5.81640625" bestFit="1" customWidth="1"/>
    <col min="117" max="117" width="7.81640625" bestFit="1" customWidth="1"/>
    <col min="118" max="119" width="11.81640625" bestFit="1" customWidth="1"/>
    <col min="120" max="120" width="9.81640625" bestFit="1" customWidth="1"/>
    <col min="121" max="121" width="5.81640625" bestFit="1" customWidth="1"/>
    <col min="122" max="123" width="11.81640625" bestFit="1" customWidth="1"/>
    <col min="124" max="124" width="8.81640625" bestFit="1" customWidth="1"/>
    <col min="125" max="125" width="6.81640625" bestFit="1" customWidth="1"/>
    <col min="126" max="126" width="11.81640625" bestFit="1" customWidth="1"/>
    <col min="127" max="127" width="6.81640625" bestFit="1" customWidth="1"/>
    <col min="128" max="128" width="5.81640625" bestFit="1" customWidth="1"/>
    <col min="129" max="129" width="7.81640625" bestFit="1" customWidth="1"/>
    <col min="130" max="131" width="3.81640625" bestFit="1" customWidth="1"/>
    <col min="132" max="132" width="9.81640625" bestFit="1" customWidth="1"/>
    <col min="133" max="133" width="11.81640625" bestFit="1" customWidth="1"/>
    <col min="134" max="134" width="7.81640625" bestFit="1" customWidth="1"/>
    <col min="135" max="135" width="11.81640625" bestFit="1" customWidth="1"/>
    <col min="136" max="136" width="7.81640625" bestFit="1" customWidth="1"/>
    <col min="137" max="137" width="8.81640625" bestFit="1" customWidth="1"/>
    <col min="138" max="139" width="9.81640625" bestFit="1" customWidth="1"/>
    <col min="140" max="141" width="11.81640625" bestFit="1" customWidth="1"/>
    <col min="142" max="142" width="9.81640625" bestFit="1" customWidth="1"/>
    <col min="143" max="143" width="7.81640625" bestFit="1" customWidth="1"/>
    <col min="144" max="144" width="11.81640625" bestFit="1" customWidth="1"/>
    <col min="145" max="145" width="8.81640625" bestFit="1" customWidth="1"/>
    <col min="146" max="147" width="11.81640625" bestFit="1" customWidth="1"/>
    <col min="148" max="148" width="9.81640625" bestFit="1" customWidth="1"/>
    <col min="149" max="150" width="11.81640625" bestFit="1" customWidth="1"/>
    <col min="151" max="151" width="6.81640625" bestFit="1" customWidth="1"/>
    <col min="152" max="152" width="11.81640625" bestFit="1" customWidth="1"/>
    <col min="153" max="153" width="7.81640625" bestFit="1" customWidth="1"/>
    <col min="154" max="154" width="8.81640625" bestFit="1" customWidth="1"/>
    <col min="155" max="155" width="3.81640625" bestFit="1" customWidth="1"/>
    <col min="156" max="156" width="7.81640625" bestFit="1" customWidth="1"/>
    <col min="157" max="157" width="11.81640625" bestFit="1" customWidth="1"/>
    <col min="158" max="158" width="6.81640625" bestFit="1" customWidth="1"/>
    <col min="159" max="159" width="11.81640625" bestFit="1" customWidth="1"/>
    <col min="160" max="160" width="4.81640625" bestFit="1" customWidth="1"/>
    <col min="161" max="163" width="11.81640625" bestFit="1" customWidth="1"/>
    <col min="164" max="164" width="3.81640625" bestFit="1" customWidth="1"/>
    <col min="165" max="165" width="10.81640625" bestFit="1" customWidth="1"/>
    <col min="166" max="166" width="11.81640625" bestFit="1" customWidth="1"/>
    <col min="167" max="167" width="4.81640625" bestFit="1" customWidth="1"/>
    <col min="168" max="169" width="11.81640625" bestFit="1" customWidth="1"/>
    <col min="170" max="170" width="3.81640625" bestFit="1" customWidth="1"/>
    <col min="171" max="171" width="11.81640625" bestFit="1" customWidth="1"/>
    <col min="172" max="172" width="4.81640625" bestFit="1" customWidth="1"/>
    <col min="173" max="175" width="11.81640625" bestFit="1" customWidth="1"/>
    <col min="176" max="176" width="3.81640625" bestFit="1" customWidth="1"/>
    <col min="177" max="180" width="11.81640625" bestFit="1" customWidth="1"/>
    <col min="181" max="181" width="4.81640625" bestFit="1" customWidth="1"/>
    <col min="182" max="183" width="11.81640625" bestFit="1" customWidth="1"/>
    <col min="184" max="184" width="4.81640625" bestFit="1" customWidth="1"/>
    <col min="185" max="188" width="11.81640625" bestFit="1" customWidth="1"/>
    <col min="189" max="189" width="4.81640625" bestFit="1" customWidth="1"/>
    <col min="190" max="191" width="11.81640625" bestFit="1" customWidth="1"/>
    <col min="192" max="192" width="3.81640625" bestFit="1" customWidth="1"/>
    <col min="193" max="207" width="11.81640625" bestFit="1" customWidth="1"/>
    <col min="208" max="208" width="10.81640625" bestFit="1" customWidth="1"/>
    <col min="209" max="214" width="11.81640625" bestFit="1" customWidth="1"/>
    <col min="215" max="215" width="4.81640625" bestFit="1" customWidth="1"/>
    <col min="216" max="218" width="11.81640625" bestFit="1" customWidth="1"/>
    <col min="219" max="219" width="10.81640625" bestFit="1" customWidth="1"/>
    <col min="220" max="222" width="11.81640625" bestFit="1" customWidth="1"/>
    <col min="223" max="223" width="5.81640625" bestFit="1" customWidth="1"/>
    <col min="224" max="225" width="11.81640625" bestFit="1" customWidth="1"/>
    <col min="226" max="226" width="10.81640625" bestFit="1" customWidth="1"/>
    <col min="227" max="229" width="11.81640625" bestFit="1" customWidth="1"/>
    <col min="230" max="230" width="10.81640625" bestFit="1" customWidth="1"/>
    <col min="231" max="246" width="11.81640625" bestFit="1" customWidth="1"/>
    <col min="247" max="247" width="10.81640625" bestFit="1" customWidth="1"/>
    <col min="248" max="256" width="11.81640625" bestFit="1" customWidth="1"/>
    <col min="257" max="257" width="1.81640625" bestFit="1" customWidth="1"/>
    <col min="258" max="258" width="6.7265625" bestFit="1" customWidth="1"/>
    <col min="259" max="259" width="10.7265625" bestFit="1" customWidth="1"/>
  </cols>
  <sheetData>
    <row r="3" spans="1:5" x14ac:dyDescent="0.35">
      <c r="A3" s="2" t="s">
        <v>200</v>
      </c>
      <c r="B3" s="12" t="s">
        <v>202</v>
      </c>
    </row>
    <row r="4" spans="1:5" x14ac:dyDescent="0.35">
      <c r="A4" s="2" t="s">
        <v>198</v>
      </c>
      <c r="B4" s="1" t="s">
        <v>201</v>
      </c>
      <c r="C4" s="1" t="s">
        <v>195</v>
      </c>
      <c r="D4" s="1" t="s">
        <v>11</v>
      </c>
      <c r="E4" s="1" t="s">
        <v>196</v>
      </c>
    </row>
    <row r="5" spans="1:5" x14ac:dyDescent="0.35">
      <c r="A5" s="3" t="s">
        <v>8</v>
      </c>
      <c r="B5" s="1">
        <v>1</v>
      </c>
      <c r="C5" s="1">
        <v>0.77777777777777779</v>
      </c>
      <c r="D5" s="1">
        <v>1</v>
      </c>
      <c r="E5" s="1">
        <v>1</v>
      </c>
    </row>
    <row r="6" spans="1:5" x14ac:dyDescent="0.35">
      <c r="A6" s="3" t="s">
        <v>12</v>
      </c>
      <c r="B6" s="1">
        <v>1</v>
      </c>
      <c r="C6" s="1">
        <v>1</v>
      </c>
      <c r="D6" s="1">
        <v>1</v>
      </c>
      <c r="E6" s="1">
        <v>1</v>
      </c>
    </row>
    <row r="7" spans="1:5" x14ac:dyDescent="0.35">
      <c r="A7" s="3" t="s">
        <v>14</v>
      </c>
      <c r="B7" s="1">
        <v>1</v>
      </c>
      <c r="C7" s="1">
        <v>0.4</v>
      </c>
      <c r="D7" s="1">
        <v>1</v>
      </c>
      <c r="E7" s="1">
        <v>1</v>
      </c>
    </row>
    <row r="8" spans="1:5" x14ac:dyDescent="0.35">
      <c r="A8" s="3" t="s">
        <v>15</v>
      </c>
      <c r="B8" s="1">
        <v>1</v>
      </c>
      <c r="C8" s="1">
        <v>1</v>
      </c>
      <c r="D8" s="1">
        <v>1</v>
      </c>
      <c r="E8" s="1">
        <v>1</v>
      </c>
    </row>
    <row r="9" spans="1:5" x14ac:dyDescent="0.35">
      <c r="A9" s="3" t="s">
        <v>17</v>
      </c>
      <c r="B9" s="1">
        <v>1</v>
      </c>
      <c r="C9" s="1">
        <v>0.45454545454545453</v>
      </c>
      <c r="D9" s="1">
        <v>0.85925925925925928</v>
      </c>
      <c r="E9" s="1">
        <v>1</v>
      </c>
    </row>
    <row r="10" spans="1:5" x14ac:dyDescent="0.35">
      <c r="A10" s="3" t="s">
        <v>19</v>
      </c>
      <c r="B10" s="1">
        <v>0</v>
      </c>
      <c r="C10" s="1">
        <v>0.4</v>
      </c>
      <c r="D10" s="1">
        <v>1</v>
      </c>
      <c r="E10" s="1">
        <v>1</v>
      </c>
    </row>
    <row r="11" spans="1:5" x14ac:dyDescent="0.35">
      <c r="A11" s="3" t="s">
        <v>20</v>
      </c>
      <c r="B11" s="1">
        <v>1</v>
      </c>
      <c r="C11" s="1">
        <v>0.4</v>
      </c>
      <c r="D11" s="1">
        <v>1</v>
      </c>
      <c r="E11" s="1">
        <v>1</v>
      </c>
    </row>
    <row r="12" spans="1:5" x14ac:dyDescent="0.35">
      <c r="A12" s="3" t="s">
        <v>22</v>
      </c>
      <c r="B12" s="1">
        <v>1</v>
      </c>
      <c r="C12" s="1">
        <v>1</v>
      </c>
      <c r="D12" s="1">
        <v>1</v>
      </c>
      <c r="E12" s="1">
        <v>1</v>
      </c>
    </row>
    <row r="13" spans="1:5" x14ac:dyDescent="0.35">
      <c r="A13" s="3" t="s">
        <v>24</v>
      </c>
      <c r="B13" s="1">
        <v>1</v>
      </c>
      <c r="C13" s="1">
        <v>0.63636363636363635</v>
      </c>
      <c r="D13" s="1">
        <v>1</v>
      </c>
      <c r="E13" s="1">
        <v>1</v>
      </c>
    </row>
    <row r="14" spans="1:5" x14ac:dyDescent="0.35">
      <c r="A14" s="3" t="s">
        <v>25</v>
      </c>
      <c r="B14" s="1">
        <v>1</v>
      </c>
      <c r="C14" s="1">
        <v>0.85</v>
      </c>
      <c r="D14" s="1">
        <v>0.99629629629629635</v>
      </c>
      <c r="E14" s="1">
        <v>1</v>
      </c>
    </row>
    <row r="15" spans="1:5" x14ac:dyDescent="0.35">
      <c r="A15" s="3" t="s">
        <v>27</v>
      </c>
      <c r="B15" s="1">
        <v>1</v>
      </c>
      <c r="C15" s="1">
        <v>0.55000000000000004</v>
      </c>
      <c r="D15" s="1">
        <v>0.97083333333333333</v>
      </c>
      <c r="E15" s="1">
        <v>1</v>
      </c>
    </row>
    <row r="16" spans="1:5" x14ac:dyDescent="0.35">
      <c r="A16" s="3" t="s">
        <v>28</v>
      </c>
      <c r="B16" s="1">
        <v>0</v>
      </c>
      <c r="C16" s="1">
        <v>0.22222222222222221</v>
      </c>
      <c r="D16" s="1">
        <v>0.94153846153846155</v>
      </c>
      <c r="E16" s="1">
        <v>1</v>
      </c>
    </row>
    <row r="17" spans="1:5" x14ac:dyDescent="0.35">
      <c r="A17" s="3" t="s">
        <v>31</v>
      </c>
      <c r="B17" s="1">
        <v>1</v>
      </c>
      <c r="C17" s="1">
        <v>0.38636363636363635</v>
      </c>
      <c r="D17" s="1">
        <v>0.96011396011396011</v>
      </c>
      <c r="E17" s="1">
        <v>1</v>
      </c>
    </row>
    <row r="18" spans="1:5" x14ac:dyDescent="0.35">
      <c r="A18" s="3" t="s">
        <v>32</v>
      </c>
      <c r="B18" s="1">
        <v>1</v>
      </c>
      <c r="C18" s="1">
        <v>0.2</v>
      </c>
      <c r="D18" s="1">
        <v>0.94939271255060731</v>
      </c>
      <c r="E18" s="1">
        <v>1</v>
      </c>
    </row>
    <row r="19" spans="1:5" x14ac:dyDescent="0.35">
      <c r="A19" s="3" t="s">
        <v>33</v>
      </c>
      <c r="B19" s="1">
        <v>0</v>
      </c>
      <c r="C19" s="1">
        <v>0.22222222222222221</v>
      </c>
      <c r="D19" s="1">
        <v>0.947209653092006</v>
      </c>
      <c r="E19" s="1">
        <v>1</v>
      </c>
    </row>
    <row r="20" spans="1:5" x14ac:dyDescent="0.35">
      <c r="A20" s="3" t="s">
        <v>34</v>
      </c>
      <c r="B20" s="1">
        <v>1</v>
      </c>
      <c r="C20" s="1">
        <v>0.44444444444444442</v>
      </c>
      <c r="D20" s="1">
        <v>1</v>
      </c>
      <c r="E20" s="1">
        <v>0</v>
      </c>
    </row>
    <row r="21" spans="1:5" x14ac:dyDescent="0.35">
      <c r="A21" s="3" t="s">
        <v>36</v>
      </c>
      <c r="B21" s="1">
        <v>0</v>
      </c>
      <c r="C21" s="1">
        <v>0.4</v>
      </c>
      <c r="D21" s="1">
        <v>0.86596736596736601</v>
      </c>
      <c r="E21" s="1">
        <v>0</v>
      </c>
    </row>
    <row r="22" spans="1:5" x14ac:dyDescent="0.35">
      <c r="A22" s="3" t="s">
        <v>37</v>
      </c>
      <c r="B22" s="1">
        <v>1</v>
      </c>
      <c r="C22" s="1">
        <v>0.4</v>
      </c>
      <c r="D22" s="1">
        <v>0.95540308747855918</v>
      </c>
      <c r="E22" s="1">
        <v>0</v>
      </c>
    </row>
    <row r="23" spans="1:5" x14ac:dyDescent="0.35">
      <c r="A23" s="3" t="s">
        <v>38</v>
      </c>
      <c r="B23" s="1">
        <v>0</v>
      </c>
      <c r="C23" s="1">
        <v>0.4</v>
      </c>
      <c r="D23" s="1">
        <v>0.93846153846153846</v>
      </c>
      <c r="E23" s="1">
        <v>1</v>
      </c>
    </row>
    <row r="24" spans="1:5" x14ac:dyDescent="0.35">
      <c r="A24" s="3" t="s">
        <v>39</v>
      </c>
      <c r="B24" s="1">
        <v>1</v>
      </c>
      <c r="C24" s="1">
        <v>0.46153846153846156</v>
      </c>
      <c r="D24" s="1">
        <v>0.94700854700854697</v>
      </c>
      <c r="E24" s="1">
        <v>0.6</v>
      </c>
    </row>
    <row r="25" spans="1:5" x14ac:dyDescent="0.35">
      <c r="A25" s="3" t="s">
        <v>40</v>
      </c>
      <c r="B25" s="1">
        <v>0</v>
      </c>
      <c r="C25" s="1">
        <v>0.47058823529411764</v>
      </c>
      <c r="D25" s="1">
        <v>0.91880341880341876</v>
      </c>
      <c r="E25" s="1">
        <v>0.33333333333333331</v>
      </c>
    </row>
    <row r="26" spans="1:5" x14ac:dyDescent="0.35">
      <c r="A26" s="3" t="s">
        <v>41</v>
      </c>
      <c r="B26" s="1">
        <v>1</v>
      </c>
      <c r="C26" s="1">
        <v>0.4</v>
      </c>
      <c r="D26" s="1">
        <v>1</v>
      </c>
      <c r="E26" s="1">
        <v>0</v>
      </c>
    </row>
    <row r="27" spans="1:5" x14ac:dyDescent="0.35">
      <c r="A27" s="3" t="s">
        <v>42</v>
      </c>
      <c r="B27" s="1">
        <v>1</v>
      </c>
      <c r="C27" s="1">
        <v>0.62962962962962965</v>
      </c>
      <c r="D27" s="1">
        <v>0.96363636363636362</v>
      </c>
      <c r="E27" s="1">
        <v>1</v>
      </c>
    </row>
    <row r="28" spans="1:5" x14ac:dyDescent="0.35">
      <c r="A28" s="3" t="s">
        <v>44</v>
      </c>
      <c r="B28" s="1">
        <v>1</v>
      </c>
      <c r="C28" s="1">
        <v>1</v>
      </c>
      <c r="D28" s="1">
        <v>0.99679487179487181</v>
      </c>
      <c r="E28" s="1">
        <v>1</v>
      </c>
    </row>
    <row r="29" spans="1:5" x14ac:dyDescent="0.35">
      <c r="A29" s="3" t="s">
        <v>45</v>
      </c>
      <c r="B29" s="1">
        <v>1</v>
      </c>
      <c r="C29" s="1">
        <v>0.75</v>
      </c>
      <c r="D29" s="1">
        <v>0.93333333333333335</v>
      </c>
      <c r="E29" s="1">
        <v>1</v>
      </c>
    </row>
    <row r="30" spans="1:5" x14ac:dyDescent="0.35">
      <c r="A30" s="3" t="s">
        <v>46</v>
      </c>
      <c r="B30" s="1">
        <v>1</v>
      </c>
      <c r="C30" s="1">
        <v>0.86363636363636365</v>
      </c>
      <c r="D30" s="1">
        <v>0.9643962848297214</v>
      </c>
      <c r="E30" s="1">
        <v>1</v>
      </c>
    </row>
    <row r="31" spans="1:5" x14ac:dyDescent="0.35">
      <c r="A31" s="3" t="s">
        <v>47</v>
      </c>
      <c r="D31" s="1">
        <v>1</v>
      </c>
    </row>
    <row r="32" spans="1:5" x14ac:dyDescent="0.35">
      <c r="A32" s="3" t="s">
        <v>49</v>
      </c>
      <c r="B32" s="1">
        <v>1</v>
      </c>
      <c r="C32" s="1">
        <v>0.9</v>
      </c>
      <c r="D32" s="1">
        <v>1</v>
      </c>
      <c r="E32" s="1">
        <v>1</v>
      </c>
    </row>
    <row r="33" spans="1:5" x14ac:dyDescent="0.35">
      <c r="A33" s="3" t="s">
        <v>50</v>
      </c>
      <c r="B33" s="1">
        <v>1</v>
      </c>
      <c r="C33" s="1">
        <v>0.4</v>
      </c>
      <c r="D33" s="1">
        <v>1</v>
      </c>
      <c r="E33" s="1">
        <v>1</v>
      </c>
    </row>
    <row r="34" spans="1:5" x14ac:dyDescent="0.35">
      <c r="A34" s="3" t="s">
        <v>51</v>
      </c>
      <c r="B34" s="1">
        <v>1</v>
      </c>
      <c r="C34" s="1">
        <v>0.64</v>
      </c>
      <c r="D34" s="1">
        <v>0.96666666666666667</v>
      </c>
      <c r="E34" s="1">
        <v>1</v>
      </c>
    </row>
    <row r="35" spans="1:5" x14ac:dyDescent="0.35">
      <c r="A35" s="3" t="s">
        <v>52</v>
      </c>
      <c r="B35" s="1">
        <v>1</v>
      </c>
      <c r="C35" s="1">
        <v>0.4</v>
      </c>
      <c r="D35" s="1">
        <v>0.97666666666666668</v>
      </c>
      <c r="E35" s="1">
        <v>1</v>
      </c>
    </row>
    <row r="36" spans="1:5" x14ac:dyDescent="0.35">
      <c r="A36" s="3" t="s">
        <v>53</v>
      </c>
      <c r="B36" s="1">
        <v>1</v>
      </c>
      <c r="C36" s="1">
        <v>1</v>
      </c>
      <c r="D36" s="1">
        <v>0.80476190476190479</v>
      </c>
      <c r="E36" s="1">
        <v>1</v>
      </c>
    </row>
    <row r="37" spans="1:5" x14ac:dyDescent="0.35">
      <c r="A37" s="3" t="s">
        <v>55</v>
      </c>
      <c r="D37" s="1">
        <v>0.97037037037037033</v>
      </c>
    </row>
    <row r="38" spans="1:5" x14ac:dyDescent="0.35">
      <c r="A38" s="3" t="s">
        <v>56</v>
      </c>
      <c r="C38" s="1">
        <v>0.4</v>
      </c>
      <c r="D38" s="1">
        <v>1</v>
      </c>
      <c r="E38" s="1">
        <v>1</v>
      </c>
    </row>
    <row r="39" spans="1:5" x14ac:dyDescent="0.35">
      <c r="A39" s="3" t="s">
        <v>58</v>
      </c>
      <c r="B39" s="1">
        <v>1</v>
      </c>
      <c r="C39" s="1">
        <v>0.55000000000000004</v>
      </c>
      <c r="D39" s="1">
        <v>1</v>
      </c>
      <c r="E39" s="1">
        <v>1</v>
      </c>
    </row>
    <row r="40" spans="1:5" x14ac:dyDescent="0.35">
      <c r="A40" s="3" t="s">
        <v>59</v>
      </c>
      <c r="D40" s="1">
        <v>1</v>
      </c>
    </row>
    <row r="41" spans="1:5" x14ac:dyDescent="0.35">
      <c r="A41" s="3" t="s">
        <v>60</v>
      </c>
      <c r="B41" s="1">
        <v>1</v>
      </c>
      <c r="C41" s="1">
        <v>0.44444444444444442</v>
      </c>
      <c r="D41" s="1">
        <v>0.82380952380952377</v>
      </c>
      <c r="E41" s="1">
        <v>1</v>
      </c>
    </row>
    <row r="42" spans="1:5" x14ac:dyDescent="0.35">
      <c r="A42" s="3" t="s">
        <v>61</v>
      </c>
      <c r="B42" s="1">
        <v>1</v>
      </c>
      <c r="C42" s="1">
        <v>1</v>
      </c>
      <c r="D42" s="1">
        <v>0.99342105263157898</v>
      </c>
      <c r="E42" s="1">
        <v>1</v>
      </c>
    </row>
    <row r="43" spans="1:5" x14ac:dyDescent="0.35">
      <c r="A43" s="3" t="s">
        <v>62</v>
      </c>
      <c r="B43" s="1">
        <v>0</v>
      </c>
      <c r="C43" s="1">
        <v>0.88888888888888884</v>
      </c>
      <c r="D43" s="1">
        <v>1</v>
      </c>
      <c r="E43" s="1">
        <v>1</v>
      </c>
    </row>
    <row r="44" spans="1:5" x14ac:dyDescent="0.35">
      <c r="A44" s="3" t="s">
        <v>63</v>
      </c>
      <c r="B44" s="1">
        <v>1</v>
      </c>
      <c r="C44" s="1">
        <v>0.6470588235294118</v>
      </c>
      <c r="D44" s="1">
        <v>0.96666666666666667</v>
      </c>
      <c r="E44" s="1">
        <v>1</v>
      </c>
    </row>
    <row r="45" spans="1:5" x14ac:dyDescent="0.35">
      <c r="A45" s="3" t="s">
        <v>64</v>
      </c>
      <c r="B45" s="1">
        <v>1</v>
      </c>
      <c r="C45" s="1">
        <v>1</v>
      </c>
      <c r="D45" s="1">
        <v>0.99885583524027455</v>
      </c>
      <c r="E45" s="1">
        <v>1</v>
      </c>
    </row>
    <row r="46" spans="1:5" x14ac:dyDescent="0.35">
      <c r="A46" s="3" t="s">
        <v>66</v>
      </c>
      <c r="B46" s="1">
        <v>1</v>
      </c>
      <c r="C46" s="1">
        <v>0.4</v>
      </c>
      <c r="D46" s="1">
        <v>1</v>
      </c>
      <c r="E46" s="1">
        <v>1</v>
      </c>
    </row>
    <row r="47" spans="1:5" x14ac:dyDescent="0.35">
      <c r="A47" s="3" t="s">
        <v>67</v>
      </c>
      <c r="B47" s="1">
        <v>1</v>
      </c>
      <c r="C47" s="1">
        <v>0.4</v>
      </c>
      <c r="D47" s="1">
        <v>0.91228070175438591</v>
      </c>
      <c r="E47" s="1">
        <v>1</v>
      </c>
    </row>
    <row r="48" spans="1:5" x14ac:dyDescent="0.35">
      <c r="A48" s="3" t="s">
        <v>68</v>
      </c>
      <c r="B48" s="1">
        <v>0</v>
      </c>
      <c r="C48" s="1">
        <v>0.45454545454545453</v>
      </c>
      <c r="D48" s="1">
        <v>0.43809523809523809</v>
      </c>
      <c r="E48" s="1">
        <v>1</v>
      </c>
    </row>
    <row r="49" spans="1:5" x14ac:dyDescent="0.35">
      <c r="A49" s="3" t="s">
        <v>69</v>
      </c>
      <c r="B49" s="1">
        <v>1</v>
      </c>
      <c r="C49" s="1">
        <v>0.36363636363636365</v>
      </c>
      <c r="D49" s="1">
        <v>0.98888888888888893</v>
      </c>
      <c r="E49" s="1">
        <v>1</v>
      </c>
    </row>
    <row r="50" spans="1:5" x14ac:dyDescent="0.35">
      <c r="A50" s="3" t="s">
        <v>70</v>
      </c>
      <c r="B50" s="1">
        <v>1</v>
      </c>
      <c r="C50" s="1">
        <v>0.86363636363636365</v>
      </c>
      <c r="D50" s="1">
        <v>1</v>
      </c>
      <c r="E50" s="1">
        <v>1</v>
      </c>
    </row>
    <row r="51" spans="1:5" x14ac:dyDescent="0.35">
      <c r="A51" s="3" t="s">
        <v>71</v>
      </c>
      <c r="B51" s="1">
        <v>1</v>
      </c>
      <c r="C51" s="1">
        <v>1</v>
      </c>
      <c r="D51" s="1">
        <v>0.99583333333333335</v>
      </c>
      <c r="E51" s="1">
        <v>1</v>
      </c>
    </row>
    <row r="52" spans="1:5" x14ac:dyDescent="0.35">
      <c r="A52" s="3" t="s">
        <v>72</v>
      </c>
      <c r="B52" s="1">
        <v>1</v>
      </c>
      <c r="C52" s="1">
        <v>1</v>
      </c>
      <c r="D52" s="1">
        <v>0.96666666666666667</v>
      </c>
      <c r="E52" s="1">
        <v>1</v>
      </c>
    </row>
    <row r="53" spans="1:5" x14ac:dyDescent="0.35">
      <c r="A53" s="3" t="s">
        <v>73</v>
      </c>
      <c r="B53" s="1">
        <v>1</v>
      </c>
      <c r="C53" s="1">
        <v>1</v>
      </c>
      <c r="D53" s="1">
        <v>1</v>
      </c>
      <c r="E53" s="1">
        <v>1</v>
      </c>
    </row>
    <row r="54" spans="1:5" x14ac:dyDescent="0.35">
      <c r="A54" s="3" t="s">
        <v>75</v>
      </c>
      <c r="B54" s="1">
        <v>0</v>
      </c>
      <c r="C54" s="1">
        <v>1</v>
      </c>
      <c r="D54" s="1">
        <v>1</v>
      </c>
      <c r="E54" s="1">
        <v>1</v>
      </c>
    </row>
    <row r="55" spans="1:5" x14ac:dyDescent="0.35">
      <c r="A55" s="3" t="s">
        <v>76</v>
      </c>
      <c r="B55" s="1">
        <v>0</v>
      </c>
      <c r="C55" s="1">
        <v>1</v>
      </c>
      <c r="D55" s="1">
        <v>0.97235023041474655</v>
      </c>
      <c r="E55" s="1">
        <v>1</v>
      </c>
    </row>
    <row r="56" spans="1:5" x14ac:dyDescent="0.35">
      <c r="A56" s="3" t="s">
        <v>77</v>
      </c>
      <c r="B56" s="1">
        <v>1</v>
      </c>
      <c r="C56" s="1">
        <v>1</v>
      </c>
      <c r="D56" s="1">
        <v>0.99108138238573018</v>
      </c>
      <c r="E56" s="1">
        <v>1</v>
      </c>
    </row>
    <row r="57" spans="1:5" x14ac:dyDescent="0.35">
      <c r="A57" s="3" t="s">
        <v>78</v>
      </c>
      <c r="B57" s="1">
        <v>0</v>
      </c>
      <c r="C57" s="1">
        <v>1</v>
      </c>
      <c r="D57" s="1">
        <v>0.97407407407407409</v>
      </c>
      <c r="E57" s="1">
        <v>1</v>
      </c>
    </row>
    <row r="58" spans="1:5" x14ac:dyDescent="0.35">
      <c r="A58" s="3" t="s">
        <v>79</v>
      </c>
      <c r="B58" s="1">
        <v>1</v>
      </c>
      <c r="C58" s="1">
        <v>1</v>
      </c>
      <c r="D58" s="1">
        <v>0.96666666666666667</v>
      </c>
      <c r="E58" s="1">
        <v>1</v>
      </c>
    </row>
    <row r="59" spans="1:5" x14ac:dyDescent="0.35">
      <c r="A59" s="3" t="s">
        <v>80</v>
      </c>
      <c r="C59" s="1">
        <v>0.59090909090909094</v>
      </c>
      <c r="D59" s="1">
        <v>1</v>
      </c>
      <c r="E59" s="1">
        <v>1</v>
      </c>
    </row>
    <row r="60" spans="1:5" x14ac:dyDescent="0.35">
      <c r="A60" s="3" t="s">
        <v>81</v>
      </c>
      <c r="B60" s="1">
        <v>0</v>
      </c>
      <c r="C60" s="1">
        <v>0.4</v>
      </c>
      <c r="D60" s="1">
        <v>1</v>
      </c>
      <c r="E60" s="1">
        <v>1</v>
      </c>
    </row>
    <row r="61" spans="1:5" x14ac:dyDescent="0.35">
      <c r="A61" s="3" t="s">
        <v>82</v>
      </c>
      <c r="B61" s="1">
        <v>0</v>
      </c>
      <c r="C61" s="1">
        <v>0.4</v>
      </c>
      <c r="D61" s="1">
        <v>0.98666666666666669</v>
      </c>
      <c r="E61" s="1">
        <v>1</v>
      </c>
    </row>
    <row r="62" spans="1:5" x14ac:dyDescent="0.35">
      <c r="A62" s="3" t="s">
        <v>83</v>
      </c>
      <c r="B62" s="1">
        <v>0</v>
      </c>
      <c r="C62" s="1">
        <v>0.4</v>
      </c>
      <c r="D62" s="1">
        <v>1</v>
      </c>
      <c r="E62" s="1">
        <v>1</v>
      </c>
    </row>
    <row r="63" spans="1:5" x14ac:dyDescent="0.35">
      <c r="A63" s="3" t="s">
        <v>85</v>
      </c>
      <c r="B63" s="1">
        <v>1</v>
      </c>
      <c r="C63" s="1">
        <v>0.4</v>
      </c>
      <c r="D63" s="1">
        <v>1</v>
      </c>
      <c r="E63" s="1">
        <v>1</v>
      </c>
    </row>
    <row r="64" spans="1:5" x14ac:dyDescent="0.35">
      <c r="A64" s="3" t="s">
        <v>86</v>
      </c>
      <c r="B64" s="1">
        <v>1</v>
      </c>
      <c r="C64" s="1">
        <v>1</v>
      </c>
      <c r="D64" s="1">
        <v>1</v>
      </c>
      <c r="E64" s="1">
        <v>1</v>
      </c>
    </row>
    <row r="65" spans="1:5" x14ac:dyDescent="0.35">
      <c r="A65" s="3" t="s">
        <v>87</v>
      </c>
      <c r="B65" s="1">
        <v>1</v>
      </c>
      <c r="C65" s="1">
        <v>1</v>
      </c>
      <c r="D65" s="1">
        <v>1</v>
      </c>
      <c r="E65" s="1">
        <v>1</v>
      </c>
    </row>
    <row r="66" spans="1:5" x14ac:dyDescent="0.35">
      <c r="A66" s="3" t="s">
        <v>88</v>
      </c>
      <c r="B66" s="1">
        <v>1</v>
      </c>
      <c r="C66" s="1">
        <v>1</v>
      </c>
      <c r="D66" s="1">
        <v>1</v>
      </c>
      <c r="E66" s="1">
        <v>1</v>
      </c>
    </row>
    <row r="67" spans="1:5" x14ac:dyDescent="0.35">
      <c r="A67" s="3" t="s">
        <v>89</v>
      </c>
      <c r="D67" s="1">
        <v>0.95</v>
      </c>
    </row>
    <row r="68" spans="1:5" x14ac:dyDescent="0.35">
      <c r="A68" s="3" t="s">
        <v>90</v>
      </c>
      <c r="D68" s="1">
        <v>0.87</v>
      </c>
    </row>
    <row r="69" spans="1:5" x14ac:dyDescent="0.35">
      <c r="A69" s="3" t="s">
        <v>91</v>
      </c>
      <c r="B69" s="1">
        <v>1</v>
      </c>
      <c r="C69" s="1">
        <v>0.85</v>
      </c>
      <c r="D69" s="1">
        <v>1</v>
      </c>
      <c r="E69" s="1">
        <v>1</v>
      </c>
    </row>
    <row r="70" spans="1:5" x14ac:dyDescent="0.35">
      <c r="A70" s="3" t="s">
        <v>92</v>
      </c>
      <c r="B70" s="1">
        <v>0</v>
      </c>
      <c r="C70" s="1">
        <v>1</v>
      </c>
      <c r="D70" s="1">
        <v>0.98888888888888893</v>
      </c>
      <c r="E70" s="1">
        <v>1</v>
      </c>
    </row>
    <row r="71" spans="1:5" x14ac:dyDescent="0.35">
      <c r="A71" s="3" t="s">
        <v>94</v>
      </c>
      <c r="B71" s="1">
        <v>1</v>
      </c>
      <c r="C71" s="1">
        <v>1</v>
      </c>
      <c r="D71" s="1">
        <v>0.93333333333333335</v>
      </c>
      <c r="E71" s="1">
        <v>1</v>
      </c>
    </row>
    <row r="72" spans="1:5" x14ac:dyDescent="0.35">
      <c r="A72" s="3" t="s">
        <v>96</v>
      </c>
      <c r="B72" s="1">
        <v>1</v>
      </c>
      <c r="C72" s="1">
        <v>0.8</v>
      </c>
      <c r="D72" s="1">
        <v>1</v>
      </c>
      <c r="E72" s="1">
        <v>1</v>
      </c>
    </row>
    <row r="73" spans="1:5" x14ac:dyDescent="0.35">
      <c r="A73" s="3" t="s">
        <v>97</v>
      </c>
      <c r="B73" s="1">
        <v>1</v>
      </c>
      <c r="C73" s="1">
        <v>0.77777777777777779</v>
      </c>
      <c r="D73" s="1">
        <v>0.99824561403508771</v>
      </c>
      <c r="E73" s="1">
        <v>1</v>
      </c>
    </row>
    <row r="74" spans="1:5" x14ac:dyDescent="0.35">
      <c r="A74" s="3" t="s">
        <v>98</v>
      </c>
      <c r="B74" s="1">
        <v>1</v>
      </c>
      <c r="C74" s="1">
        <v>0.77777777777777779</v>
      </c>
      <c r="D74" s="1">
        <v>1</v>
      </c>
      <c r="E74" s="1">
        <v>1</v>
      </c>
    </row>
    <row r="75" spans="1:5" x14ac:dyDescent="0.35">
      <c r="A75" s="3" t="s">
        <v>99</v>
      </c>
      <c r="B75" s="1">
        <v>0</v>
      </c>
      <c r="C75" s="1">
        <v>0.4</v>
      </c>
      <c r="D75" s="1">
        <v>1</v>
      </c>
      <c r="E75" s="1">
        <v>1</v>
      </c>
    </row>
    <row r="76" spans="1:5" x14ac:dyDescent="0.35">
      <c r="A76" s="3" t="s">
        <v>100</v>
      </c>
      <c r="B76" s="1">
        <v>1</v>
      </c>
      <c r="C76" s="1">
        <v>1</v>
      </c>
      <c r="D76" s="1">
        <v>1</v>
      </c>
      <c r="E76" s="1">
        <v>0</v>
      </c>
    </row>
    <row r="77" spans="1:5" x14ac:dyDescent="0.35">
      <c r="A77" s="3" t="s">
        <v>101</v>
      </c>
      <c r="B77" s="1">
        <v>1</v>
      </c>
      <c r="C77" s="1">
        <v>1</v>
      </c>
      <c r="D77" s="1">
        <v>0.94358974358974357</v>
      </c>
      <c r="E77" s="1">
        <v>1</v>
      </c>
    </row>
    <row r="78" spans="1:5" x14ac:dyDescent="0.35">
      <c r="A78" s="3" t="s">
        <v>102</v>
      </c>
      <c r="D78" s="1">
        <v>0.9555555555555556</v>
      </c>
    </row>
    <row r="79" spans="1:5" x14ac:dyDescent="0.35">
      <c r="A79" s="3" t="s">
        <v>103</v>
      </c>
      <c r="B79" s="1">
        <v>1</v>
      </c>
      <c r="C79" s="1">
        <v>0.44444444444444442</v>
      </c>
      <c r="D79" s="1">
        <v>1</v>
      </c>
      <c r="E79" s="1">
        <v>1</v>
      </c>
    </row>
    <row r="80" spans="1:5" x14ac:dyDescent="0.35">
      <c r="A80" s="3" t="s">
        <v>104</v>
      </c>
      <c r="B80" s="1">
        <v>1</v>
      </c>
      <c r="C80" s="1">
        <v>0.4</v>
      </c>
      <c r="D80" s="1">
        <v>1</v>
      </c>
      <c r="E80" s="1">
        <v>1</v>
      </c>
    </row>
    <row r="81" spans="1:5" x14ac:dyDescent="0.35">
      <c r="A81" s="3" t="s">
        <v>105</v>
      </c>
      <c r="B81" s="1">
        <v>0</v>
      </c>
      <c r="C81" s="1">
        <v>0.72727272727272729</v>
      </c>
      <c r="D81" s="1">
        <v>0.9458333333333333</v>
      </c>
      <c r="E81" s="1">
        <v>1</v>
      </c>
    </row>
    <row r="82" spans="1:5" x14ac:dyDescent="0.35">
      <c r="A82" s="3" t="s">
        <v>106</v>
      </c>
      <c r="B82" s="1">
        <v>1</v>
      </c>
      <c r="C82" s="1">
        <v>1</v>
      </c>
      <c r="D82" s="1">
        <v>0.96666666666666667</v>
      </c>
      <c r="E82" s="1">
        <v>1</v>
      </c>
    </row>
    <row r="83" spans="1:5" x14ac:dyDescent="0.35">
      <c r="A83" s="3" t="s">
        <v>107</v>
      </c>
      <c r="D83" s="1">
        <v>0.99122807017543857</v>
      </c>
    </row>
    <row r="84" spans="1:5" x14ac:dyDescent="0.35">
      <c r="A84" s="3" t="s">
        <v>108</v>
      </c>
      <c r="B84" s="1">
        <v>1</v>
      </c>
      <c r="C84" s="1">
        <v>0.4</v>
      </c>
      <c r="D84" s="1">
        <v>0.98120300751879697</v>
      </c>
      <c r="E84" s="1">
        <v>1</v>
      </c>
    </row>
    <row r="85" spans="1:5" x14ac:dyDescent="0.35">
      <c r="A85" s="3" t="s">
        <v>109</v>
      </c>
      <c r="D85" s="1">
        <v>0.96666666666666667</v>
      </c>
    </row>
    <row r="86" spans="1:5" x14ac:dyDescent="0.35">
      <c r="A86" s="3" t="s">
        <v>110</v>
      </c>
      <c r="B86" s="1">
        <v>1</v>
      </c>
      <c r="C86" s="1">
        <v>0.44444444444444442</v>
      </c>
      <c r="D86" s="1">
        <v>0.96808510638297873</v>
      </c>
      <c r="E86" s="1">
        <v>1</v>
      </c>
    </row>
    <row r="87" spans="1:5" x14ac:dyDescent="0.35">
      <c r="A87" s="3" t="s">
        <v>111</v>
      </c>
      <c r="B87" s="1">
        <v>1</v>
      </c>
      <c r="C87" s="1">
        <v>1</v>
      </c>
      <c r="D87" s="1">
        <v>0.93333333333333335</v>
      </c>
      <c r="E87" s="1">
        <v>1</v>
      </c>
    </row>
    <row r="88" spans="1:5" x14ac:dyDescent="0.35">
      <c r="A88" s="3" t="s">
        <v>112</v>
      </c>
      <c r="B88" s="1">
        <v>1</v>
      </c>
      <c r="C88" s="1">
        <v>0.4</v>
      </c>
      <c r="D88" s="1">
        <v>0.93628808864265933</v>
      </c>
      <c r="E88" s="1">
        <v>1</v>
      </c>
    </row>
    <row r="89" spans="1:5" x14ac:dyDescent="0.35">
      <c r="A89" s="3" t="s">
        <v>113</v>
      </c>
      <c r="B89" s="1">
        <v>1</v>
      </c>
      <c r="C89" s="1">
        <v>0.44444444444444442</v>
      </c>
      <c r="D89" s="1">
        <v>0.82777777777777772</v>
      </c>
      <c r="E89" s="1">
        <v>1</v>
      </c>
    </row>
    <row r="90" spans="1:5" x14ac:dyDescent="0.35">
      <c r="A90" s="3" t="s">
        <v>115</v>
      </c>
      <c r="B90" s="1">
        <v>1</v>
      </c>
      <c r="C90" s="1">
        <v>1</v>
      </c>
      <c r="D90" s="1">
        <v>1</v>
      </c>
      <c r="E90" s="1">
        <v>1</v>
      </c>
    </row>
    <row r="91" spans="1:5" x14ac:dyDescent="0.35">
      <c r="A91" s="3" t="s">
        <v>116</v>
      </c>
      <c r="B91" s="1">
        <v>0</v>
      </c>
      <c r="C91" s="1">
        <v>0.9</v>
      </c>
      <c r="D91" s="1">
        <v>0.93181818181818177</v>
      </c>
      <c r="E91" s="1">
        <v>1</v>
      </c>
    </row>
    <row r="92" spans="1:5" x14ac:dyDescent="0.35">
      <c r="A92" s="3" t="s">
        <v>117</v>
      </c>
      <c r="B92" s="1">
        <v>1</v>
      </c>
      <c r="C92" s="1">
        <v>0.4</v>
      </c>
      <c r="D92" s="1">
        <v>0.91212121212121211</v>
      </c>
      <c r="E92" s="1">
        <v>1</v>
      </c>
    </row>
    <row r="93" spans="1:5" x14ac:dyDescent="0.35">
      <c r="A93" s="3" t="s">
        <v>118</v>
      </c>
      <c r="B93" s="1">
        <v>1</v>
      </c>
      <c r="C93" s="1">
        <v>0.2</v>
      </c>
      <c r="D93" s="1">
        <v>0.96666666666666667</v>
      </c>
      <c r="E93" s="1">
        <v>1</v>
      </c>
    </row>
    <row r="94" spans="1:5" x14ac:dyDescent="0.35">
      <c r="A94" s="3" t="s">
        <v>120</v>
      </c>
      <c r="B94" s="1">
        <v>1</v>
      </c>
      <c r="C94" s="1">
        <v>0.4</v>
      </c>
      <c r="D94" s="1">
        <v>0.81904761904761902</v>
      </c>
      <c r="E94" s="1">
        <v>1</v>
      </c>
    </row>
    <row r="95" spans="1:5" x14ac:dyDescent="0.35">
      <c r="A95" s="3" t="s">
        <v>121</v>
      </c>
      <c r="B95" s="1">
        <v>1</v>
      </c>
      <c r="C95" s="1">
        <v>0.6</v>
      </c>
      <c r="D95" s="1">
        <v>0.93333333333333335</v>
      </c>
      <c r="E95" s="1">
        <v>1</v>
      </c>
    </row>
    <row r="96" spans="1:5" x14ac:dyDescent="0.35">
      <c r="A96" s="3" t="s">
        <v>122</v>
      </c>
      <c r="B96" s="1">
        <v>1</v>
      </c>
      <c r="C96" s="1">
        <v>0.4</v>
      </c>
      <c r="D96" s="1">
        <v>0.82</v>
      </c>
      <c r="E96" s="1">
        <v>1</v>
      </c>
    </row>
    <row r="97" spans="1:5" x14ac:dyDescent="0.35">
      <c r="A97" s="3" t="s">
        <v>123</v>
      </c>
      <c r="B97" s="1">
        <v>0</v>
      </c>
      <c r="C97" s="1">
        <v>0.55555555555555558</v>
      </c>
      <c r="D97" s="1">
        <v>1</v>
      </c>
      <c r="E97" s="1">
        <v>1</v>
      </c>
    </row>
    <row r="98" spans="1:5" x14ac:dyDescent="0.35">
      <c r="A98" s="3" t="s">
        <v>124</v>
      </c>
      <c r="B98" s="1">
        <v>1</v>
      </c>
      <c r="C98" s="1">
        <v>0.4</v>
      </c>
      <c r="D98" s="1">
        <v>0.99583333333333335</v>
      </c>
      <c r="E98" s="1">
        <v>1</v>
      </c>
    </row>
    <row r="99" spans="1:5" x14ac:dyDescent="0.35">
      <c r="A99" s="3" t="s">
        <v>125</v>
      </c>
      <c r="B99" s="1">
        <v>0</v>
      </c>
      <c r="C99" s="1">
        <v>1</v>
      </c>
      <c r="D99" s="1">
        <v>1</v>
      </c>
      <c r="E99" s="1">
        <v>1</v>
      </c>
    </row>
    <row r="100" spans="1:5" x14ac:dyDescent="0.35">
      <c r="A100" s="3" t="s">
        <v>126</v>
      </c>
      <c r="B100" s="1">
        <v>1</v>
      </c>
      <c r="C100" s="1">
        <v>1</v>
      </c>
      <c r="D100" s="1">
        <v>0.9454976303317536</v>
      </c>
      <c r="E100" s="1">
        <v>1</v>
      </c>
    </row>
    <row r="101" spans="1:5" x14ac:dyDescent="0.35">
      <c r="A101" s="3" t="s">
        <v>127</v>
      </c>
      <c r="B101" s="1">
        <v>1</v>
      </c>
      <c r="C101" s="1">
        <v>0.55000000000000004</v>
      </c>
      <c r="D101" s="1">
        <v>1</v>
      </c>
      <c r="E101" s="1">
        <v>1</v>
      </c>
    </row>
    <row r="102" spans="1:5" x14ac:dyDescent="0.35">
      <c r="A102" s="3" t="s">
        <v>128</v>
      </c>
      <c r="D102" s="1">
        <v>0.98076923076923073</v>
      </c>
    </row>
    <row r="103" spans="1:5" x14ac:dyDescent="0.35">
      <c r="A103" s="3" t="s">
        <v>129</v>
      </c>
      <c r="B103" s="1">
        <v>0</v>
      </c>
      <c r="C103" s="1">
        <v>1</v>
      </c>
      <c r="D103" s="1">
        <v>1</v>
      </c>
      <c r="E103" s="1">
        <v>1</v>
      </c>
    </row>
    <row r="104" spans="1:5" x14ac:dyDescent="0.35">
      <c r="A104" s="3" t="s">
        <v>131</v>
      </c>
      <c r="B104" s="1">
        <v>0</v>
      </c>
      <c r="C104" s="1">
        <v>1</v>
      </c>
      <c r="D104" s="1">
        <v>0.76111111111111107</v>
      </c>
      <c r="E104" s="1">
        <v>0.66666666666666663</v>
      </c>
    </row>
    <row r="105" spans="1:5" x14ac:dyDescent="0.35">
      <c r="A105" s="3" t="s">
        <v>132</v>
      </c>
      <c r="B105" s="1">
        <v>0</v>
      </c>
      <c r="C105" s="1">
        <v>0.45454545454545453</v>
      </c>
      <c r="D105" s="1">
        <v>0.96333333333333337</v>
      </c>
      <c r="E105" s="1">
        <v>1</v>
      </c>
    </row>
    <row r="106" spans="1:5" x14ac:dyDescent="0.35">
      <c r="A106" s="3" t="s">
        <v>133</v>
      </c>
      <c r="B106" s="1">
        <v>1</v>
      </c>
      <c r="C106" s="1">
        <v>0.55555555555555558</v>
      </c>
      <c r="D106" s="1">
        <v>0.98095238095238091</v>
      </c>
      <c r="E106" s="1">
        <v>1</v>
      </c>
    </row>
    <row r="107" spans="1:5" x14ac:dyDescent="0.35">
      <c r="A107" s="3" t="s">
        <v>134</v>
      </c>
      <c r="B107" s="1">
        <v>1</v>
      </c>
      <c r="C107" s="1">
        <v>0.6</v>
      </c>
      <c r="D107" s="1">
        <v>0.97333333333333338</v>
      </c>
      <c r="E107" s="1">
        <v>0.5</v>
      </c>
    </row>
    <row r="108" spans="1:5" x14ac:dyDescent="0.35">
      <c r="A108" s="3" t="s">
        <v>135</v>
      </c>
      <c r="B108" s="1">
        <v>1</v>
      </c>
      <c r="C108" s="1">
        <v>0.44444444444444442</v>
      </c>
      <c r="D108" s="1">
        <v>0.95185185185185184</v>
      </c>
      <c r="E108" s="1">
        <v>1</v>
      </c>
    </row>
    <row r="109" spans="1:5" x14ac:dyDescent="0.35">
      <c r="A109" s="3" t="s">
        <v>136</v>
      </c>
      <c r="B109" s="1">
        <v>1</v>
      </c>
      <c r="C109" s="1">
        <v>0.4</v>
      </c>
      <c r="D109" s="1">
        <v>1</v>
      </c>
      <c r="E109" s="1">
        <v>1</v>
      </c>
    </row>
    <row r="110" spans="1:5" x14ac:dyDescent="0.35">
      <c r="A110" s="3" t="s">
        <v>137</v>
      </c>
      <c r="B110" s="1">
        <v>1</v>
      </c>
      <c r="C110" s="1">
        <v>1</v>
      </c>
      <c r="D110" s="1">
        <v>1</v>
      </c>
      <c r="E110" s="1">
        <v>1</v>
      </c>
    </row>
    <row r="111" spans="1:5" x14ac:dyDescent="0.35">
      <c r="A111" s="3" t="s">
        <v>138</v>
      </c>
      <c r="B111" s="1">
        <v>1</v>
      </c>
      <c r="C111" s="1">
        <v>1</v>
      </c>
      <c r="D111" s="1">
        <v>1</v>
      </c>
      <c r="E111" s="1">
        <v>1</v>
      </c>
    </row>
    <row r="112" spans="1:5" x14ac:dyDescent="0.35">
      <c r="A112" s="3" t="s">
        <v>139</v>
      </c>
      <c r="B112" s="1">
        <v>1</v>
      </c>
      <c r="C112" s="1">
        <v>1</v>
      </c>
      <c r="D112" s="1">
        <v>1</v>
      </c>
      <c r="E112" s="1">
        <v>1</v>
      </c>
    </row>
    <row r="113" spans="1:5" x14ac:dyDescent="0.35">
      <c r="A113" s="3" t="s">
        <v>140</v>
      </c>
      <c r="B113" s="1">
        <v>1</v>
      </c>
      <c r="C113" s="1">
        <v>0.7</v>
      </c>
      <c r="D113" s="1">
        <v>0.96666666666666667</v>
      </c>
      <c r="E113" s="1">
        <v>1</v>
      </c>
    </row>
    <row r="114" spans="1:5" x14ac:dyDescent="0.35">
      <c r="A114" s="3" t="s">
        <v>141</v>
      </c>
      <c r="B114" s="1">
        <v>1</v>
      </c>
      <c r="C114" s="1">
        <v>0.4</v>
      </c>
      <c r="D114" s="1">
        <v>0.81666666666666665</v>
      </c>
      <c r="E114" s="1">
        <v>1</v>
      </c>
    </row>
    <row r="115" spans="1:5" x14ac:dyDescent="0.35">
      <c r="A115" s="3" t="s">
        <v>142</v>
      </c>
      <c r="B115" s="1">
        <v>1</v>
      </c>
      <c r="C115" s="1">
        <v>0.55000000000000004</v>
      </c>
      <c r="D115" s="1">
        <v>1</v>
      </c>
      <c r="E115" s="1">
        <v>1</v>
      </c>
    </row>
    <row r="116" spans="1:5" x14ac:dyDescent="0.35">
      <c r="A116" s="3" t="s">
        <v>143</v>
      </c>
      <c r="B116" s="1">
        <v>1</v>
      </c>
      <c r="C116" s="1">
        <v>1</v>
      </c>
      <c r="D116" s="1">
        <v>1</v>
      </c>
      <c r="E116" s="1">
        <v>1</v>
      </c>
    </row>
    <row r="117" spans="1:5" x14ac:dyDescent="0.35">
      <c r="A117" s="3" t="s">
        <v>144</v>
      </c>
      <c r="B117" s="1">
        <v>1</v>
      </c>
      <c r="C117" s="1">
        <v>0.44444444444444442</v>
      </c>
      <c r="D117" s="1">
        <v>0.53888888888888886</v>
      </c>
      <c r="E117" s="1">
        <v>1</v>
      </c>
    </row>
    <row r="118" spans="1:5" x14ac:dyDescent="0.35">
      <c r="A118" s="3" t="s">
        <v>145</v>
      </c>
      <c r="B118" s="1">
        <v>1</v>
      </c>
      <c r="C118" s="1">
        <v>0.75</v>
      </c>
      <c r="D118" s="1">
        <v>1</v>
      </c>
      <c r="E118" s="1">
        <v>1</v>
      </c>
    </row>
    <row r="119" spans="1:5" x14ac:dyDescent="0.35">
      <c r="A119" s="3" t="s">
        <v>146</v>
      </c>
      <c r="B119" s="1">
        <v>1</v>
      </c>
      <c r="C119" s="1">
        <v>0.8</v>
      </c>
      <c r="D119" s="1">
        <v>1</v>
      </c>
      <c r="E119" s="1">
        <v>1</v>
      </c>
    </row>
    <row r="120" spans="1:5" x14ac:dyDescent="0.35">
      <c r="A120" s="3" t="s">
        <v>147</v>
      </c>
      <c r="D120" s="1">
        <v>1</v>
      </c>
    </row>
    <row r="121" spans="1:5" x14ac:dyDescent="0.35">
      <c r="A121" s="3" t="s">
        <v>148</v>
      </c>
      <c r="B121" s="1">
        <v>1</v>
      </c>
      <c r="C121" s="1">
        <v>0.77777777777777779</v>
      </c>
      <c r="D121" s="1">
        <v>0.98148148148148151</v>
      </c>
      <c r="E121" s="1">
        <v>1</v>
      </c>
    </row>
    <row r="122" spans="1:5" x14ac:dyDescent="0.35">
      <c r="A122" s="3" t="s">
        <v>149</v>
      </c>
      <c r="B122" s="1">
        <v>0</v>
      </c>
      <c r="C122" s="1">
        <v>0.6</v>
      </c>
      <c r="D122" s="1">
        <v>0.94166666666666665</v>
      </c>
      <c r="E122" s="1">
        <v>1</v>
      </c>
    </row>
    <row r="123" spans="1:5" x14ac:dyDescent="0.35">
      <c r="A123" s="3" t="s">
        <v>150</v>
      </c>
      <c r="B123" s="1">
        <v>1</v>
      </c>
      <c r="C123" s="1">
        <v>1</v>
      </c>
      <c r="D123" s="1">
        <v>0.94912280701754381</v>
      </c>
      <c r="E123" s="1">
        <v>1</v>
      </c>
    </row>
    <row r="124" spans="1:5" x14ac:dyDescent="0.35">
      <c r="A124" s="3" t="s">
        <v>151</v>
      </c>
      <c r="B124" s="1">
        <v>0</v>
      </c>
      <c r="C124" s="1">
        <v>1</v>
      </c>
      <c r="D124" s="1">
        <v>0.94736842105263153</v>
      </c>
      <c r="E124" s="1">
        <v>1</v>
      </c>
    </row>
    <row r="125" spans="1:5" x14ac:dyDescent="0.35">
      <c r="A125" s="3" t="s">
        <v>152</v>
      </c>
      <c r="D125" s="1">
        <v>0.97857142857142854</v>
      </c>
    </row>
    <row r="126" spans="1:5" x14ac:dyDescent="0.35">
      <c r="A126" s="3" t="s">
        <v>153</v>
      </c>
      <c r="B126" s="1">
        <v>0</v>
      </c>
      <c r="C126" s="1">
        <v>0.7</v>
      </c>
      <c r="D126" s="1">
        <v>1</v>
      </c>
      <c r="E126" s="1">
        <v>1</v>
      </c>
    </row>
    <row r="127" spans="1:5" x14ac:dyDescent="0.35">
      <c r="A127" s="3" t="s">
        <v>154</v>
      </c>
      <c r="B127" s="1">
        <v>0</v>
      </c>
      <c r="C127" s="1">
        <v>0.44444444444444442</v>
      </c>
      <c r="D127" s="1">
        <v>0.92307692307692313</v>
      </c>
      <c r="E127" s="1">
        <v>1</v>
      </c>
    </row>
    <row r="128" spans="1:5" x14ac:dyDescent="0.35">
      <c r="A128" s="3" t="s">
        <v>156</v>
      </c>
      <c r="B128" s="1">
        <v>0</v>
      </c>
      <c r="C128" s="1">
        <v>0.4</v>
      </c>
      <c r="D128" s="1">
        <v>0.92307692307692313</v>
      </c>
      <c r="E128" s="1">
        <v>1</v>
      </c>
    </row>
    <row r="129" spans="1:5" x14ac:dyDescent="0.35">
      <c r="A129" s="3" t="s">
        <v>157</v>
      </c>
      <c r="B129" s="1">
        <v>0</v>
      </c>
      <c r="C129" s="1">
        <v>0.44444444444444442</v>
      </c>
      <c r="D129" s="1">
        <v>0.92601726263871764</v>
      </c>
      <c r="E129" s="1">
        <v>1</v>
      </c>
    </row>
    <row r="130" spans="1:5" x14ac:dyDescent="0.35">
      <c r="A130" s="3" t="s">
        <v>158</v>
      </c>
      <c r="B130" s="1">
        <v>0</v>
      </c>
      <c r="C130" s="1">
        <v>0.4</v>
      </c>
      <c r="D130" s="1">
        <v>0.8571428571428571</v>
      </c>
      <c r="E130" s="1">
        <v>1</v>
      </c>
    </row>
    <row r="131" spans="1:5" x14ac:dyDescent="0.35">
      <c r="A131" s="3" t="s">
        <v>159</v>
      </c>
      <c r="D131" s="1">
        <v>0.6</v>
      </c>
    </row>
    <row r="132" spans="1:5" x14ac:dyDescent="0.35">
      <c r="A132" s="3" t="s">
        <v>160</v>
      </c>
      <c r="B132" s="1">
        <v>1</v>
      </c>
      <c r="C132" s="1">
        <v>0.4</v>
      </c>
      <c r="D132" s="1">
        <v>0.87435897435897436</v>
      </c>
      <c r="E132" s="1">
        <v>1</v>
      </c>
    </row>
    <row r="133" spans="1:5" x14ac:dyDescent="0.35">
      <c r="A133" s="3" t="s">
        <v>161</v>
      </c>
      <c r="B133" s="1">
        <v>1</v>
      </c>
      <c r="C133" s="1">
        <v>0.88888888888888884</v>
      </c>
      <c r="D133" s="1">
        <v>1</v>
      </c>
      <c r="E133" s="1">
        <v>1</v>
      </c>
    </row>
    <row r="134" spans="1:5" x14ac:dyDescent="0.35">
      <c r="A134" s="3" t="s">
        <v>162</v>
      </c>
      <c r="B134" s="1">
        <v>1</v>
      </c>
      <c r="C134" s="1">
        <v>0.66666666666666663</v>
      </c>
      <c r="D134" s="1">
        <v>1</v>
      </c>
      <c r="E134" s="1">
        <v>1</v>
      </c>
    </row>
    <row r="135" spans="1:5" x14ac:dyDescent="0.35">
      <c r="A135" s="3" t="s">
        <v>163</v>
      </c>
      <c r="B135" s="1">
        <v>1</v>
      </c>
      <c r="C135" s="1">
        <v>1</v>
      </c>
      <c r="D135" s="1">
        <v>1</v>
      </c>
      <c r="E135" s="1">
        <v>1</v>
      </c>
    </row>
    <row r="136" spans="1:5" x14ac:dyDescent="0.35">
      <c r="A136" s="3" t="s">
        <v>164</v>
      </c>
      <c r="B136" s="1">
        <v>1</v>
      </c>
      <c r="C136" s="1">
        <v>0.4</v>
      </c>
      <c r="D136" s="1">
        <v>0.8571428571428571</v>
      </c>
      <c r="E136" s="1">
        <v>1</v>
      </c>
    </row>
    <row r="137" spans="1:5" x14ac:dyDescent="0.35">
      <c r="A137" s="3" t="s">
        <v>165</v>
      </c>
      <c r="B137" s="1">
        <v>0</v>
      </c>
      <c r="C137" s="1">
        <v>0.44444444444444442</v>
      </c>
      <c r="D137" s="1">
        <v>0.96499999999999997</v>
      </c>
      <c r="E137" s="1">
        <v>1</v>
      </c>
    </row>
    <row r="138" spans="1:5" x14ac:dyDescent="0.35">
      <c r="A138" s="3" t="s">
        <v>166</v>
      </c>
      <c r="B138" s="1">
        <v>0</v>
      </c>
      <c r="C138" s="1">
        <v>0.8</v>
      </c>
      <c r="D138" s="1">
        <v>0.98364008179959095</v>
      </c>
      <c r="E138" s="1">
        <v>1</v>
      </c>
    </row>
    <row r="139" spans="1:5" x14ac:dyDescent="0.35">
      <c r="A139" s="3" t="s">
        <v>167</v>
      </c>
      <c r="B139" s="1">
        <v>1</v>
      </c>
      <c r="C139" s="1">
        <v>0.55555555555555558</v>
      </c>
      <c r="D139" s="1">
        <v>0.93867924528301883</v>
      </c>
      <c r="E139" s="1">
        <v>1</v>
      </c>
    </row>
    <row r="140" spans="1:5" x14ac:dyDescent="0.35">
      <c r="A140" s="3" t="s">
        <v>168</v>
      </c>
      <c r="B140" s="1">
        <v>1</v>
      </c>
      <c r="C140" s="1">
        <v>0.8</v>
      </c>
      <c r="D140" s="1">
        <v>0.9939393939393939</v>
      </c>
      <c r="E140" s="1">
        <v>1</v>
      </c>
    </row>
    <row r="141" spans="1:5" x14ac:dyDescent="0.35">
      <c r="A141" s="3" t="s">
        <v>169</v>
      </c>
      <c r="B141" s="1">
        <v>1</v>
      </c>
      <c r="C141" s="1">
        <v>0.81818181818181823</v>
      </c>
      <c r="D141" s="1">
        <v>1</v>
      </c>
      <c r="E141" s="1">
        <v>1</v>
      </c>
    </row>
    <row r="142" spans="1:5" x14ac:dyDescent="0.35">
      <c r="A142" s="3" t="s">
        <v>170</v>
      </c>
      <c r="B142" s="1">
        <v>1</v>
      </c>
      <c r="C142" s="1">
        <v>0.6</v>
      </c>
      <c r="D142" s="1">
        <v>0.76666666666666672</v>
      </c>
      <c r="E142" s="1">
        <v>1</v>
      </c>
    </row>
    <row r="143" spans="1:5" x14ac:dyDescent="0.35">
      <c r="A143" s="3" t="s">
        <v>171</v>
      </c>
      <c r="B143" s="1">
        <v>1</v>
      </c>
      <c r="C143" s="1">
        <v>1</v>
      </c>
      <c r="D143" s="1">
        <v>1</v>
      </c>
      <c r="E143" s="1">
        <v>1</v>
      </c>
    </row>
    <row r="144" spans="1:5" x14ac:dyDescent="0.35">
      <c r="A144" s="3" t="s">
        <v>172</v>
      </c>
      <c r="B144" s="1">
        <v>1</v>
      </c>
      <c r="C144" s="1">
        <v>0.6</v>
      </c>
      <c r="D144" s="1">
        <v>1</v>
      </c>
      <c r="E144" s="1">
        <v>1</v>
      </c>
    </row>
    <row r="145" spans="1:5" x14ac:dyDescent="0.35">
      <c r="A145" s="3" t="s">
        <v>173</v>
      </c>
      <c r="B145" s="1">
        <v>1</v>
      </c>
      <c r="C145" s="1">
        <v>1</v>
      </c>
      <c r="D145" s="1">
        <v>0.97272727272727277</v>
      </c>
      <c r="E145" s="1">
        <v>1</v>
      </c>
    </row>
    <row r="146" spans="1:5" x14ac:dyDescent="0.35">
      <c r="A146" s="3" t="s">
        <v>174</v>
      </c>
      <c r="B146" s="1">
        <v>1</v>
      </c>
      <c r="C146" s="1">
        <v>0.5</v>
      </c>
      <c r="D146" s="1">
        <v>0.96666666666666667</v>
      </c>
      <c r="E146" s="1">
        <v>1</v>
      </c>
    </row>
    <row r="147" spans="1:5" x14ac:dyDescent="0.35">
      <c r="A147" s="3" t="s">
        <v>175</v>
      </c>
      <c r="B147" s="1">
        <v>1</v>
      </c>
      <c r="C147" s="1">
        <v>1</v>
      </c>
      <c r="D147" s="1">
        <v>0.99735449735449733</v>
      </c>
      <c r="E147" s="1">
        <v>1</v>
      </c>
    </row>
    <row r="148" spans="1:5" x14ac:dyDescent="0.35">
      <c r="A148" s="3" t="s">
        <v>176</v>
      </c>
      <c r="B148" s="1">
        <v>1</v>
      </c>
      <c r="C148" s="1">
        <v>0.4</v>
      </c>
      <c r="D148" s="1">
        <v>0.96666666666666667</v>
      </c>
      <c r="E148" s="1">
        <v>1</v>
      </c>
    </row>
    <row r="149" spans="1:5" x14ac:dyDescent="0.35">
      <c r="A149" s="3" t="s">
        <v>177</v>
      </c>
      <c r="B149" s="1">
        <v>0</v>
      </c>
      <c r="C149" s="1">
        <v>0.4</v>
      </c>
      <c r="D149" s="1">
        <v>0.97142857142857142</v>
      </c>
      <c r="E149" s="1">
        <v>1</v>
      </c>
    </row>
    <row r="150" spans="1:5" x14ac:dyDescent="0.35">
      <c r="A150" s="3" t="s">
        <v>178</v>
      </c>
      <c r="B150" s="1">
        <v>0</v>
      </c>
      <c r="C150" s="1">
        <v>1</v>
      </c>
      <c r="D150" s="1">
        <v>0.96666666666666667</v>
      </c>
      <c r="E150" s="1">
        <v>1</v>
      </c>
    </row>
    <row r="151" spans="1:5" x14ac:dyDescent="0.35">
      <c r="A151" s="3" t="s">
        <v>179</v>
      </c>
      <c r="B151" s="1">
        <v>1</v>
      </c>
      <c r="C151" s="1">
        <v>1</v>
      </c>
      <c r="D151" s="1">
        <v>0.99436090225563911</v>
      </c>
      <c r="E151" s="1">
        <v>1</v>
      </c>
    </row>
    <row r="152" spans="1:5" x14ac:dyDescent="0.35">
      <c r="A152" s="3" t="s">
        <v>180</v>
      </c>
      <c r="B152" s="1">
        <v>1</v>
      </c>
      <c r="C152" s="1">
        <v>1</v>
      </c>
      <c r="D152" s="1">
        <v>1</v>
      </c>
      <c r="E152" s="1">
        <v>0.8</v>
      </c>
    </row>
    <row r="153" spans="1:5" x14ac:dyDescent="0.35">
      <c r="A153" s="3" t="s">
        <v>181</v>
      </c>
      <c r="B153" s="1">
        <v>1</v>
      </c>
      <c r="C153" s="1">
        <v>1</v>
      </c>
      <c r="D153" s="1">
        <v>0.98681318681318686</v>
      </c>
      <c r="E153" s="1">
        <v>1</v>
      </c>
    </row>
    <row r="154" spans="1:5" x14ac:dyDescent="0.35">
      <c r="A154" s="3" t="s">
        <v>182</v>
      </c>
      <c r="B154" s="1">
        <v>0</v>
      </c>
      <c r="C154" s="1">
        <v>1</v>
      </c>
      <c r="D154" s="1">
        <v>1</v>
      </c>
      <c r="E154" s="1">
        <v>1</v>
      </c>
    </row>
    <row r="155" spans="1:5" x14ac:dyDescent="0.35">
      <c r="A155" s="3" t="s">
        <v>183</v>
      </c>
      <c r="B155" s="1">
        <v>1</v>
      </c>
      <c r="C155" s="1">
        <v>0.4</v>
      </c>
      <c r="D155" s="1">
        <v>0.82777777777777772</v>
      </c>
      <c r="E155" s="1">
        <v>1</v>
      </c>
    </row>
    <row r="156" spans="1:5" x14ac:dyDescent="0.35">
      <c r="A156" s="3" t="s">
        <v>184</v>
      </c>
      <c r="B156" s="1">
        <v>1</v>
      </c>
      <c r="C156" s="1">
        <v>1</v>
      </c>
      <c r="D156" s="1">
        <v>0.9458333333333333</v>
      </c>
      <c r="E156" s="1">
        <v>1</v>
      </c>
    </row>
    <row r="157" spans="1:5" x14ac:dyDescent="0.35">
      <c r="A157" s="3" t="s">
        <v>185</v>
      </c>
      <c r="B157" s="1">
        <v>1</v>
      </c>
      <c r="C157" s="1">
        <v>1</v>
      </c>
      <c r="D157" s="1">
        <v>0.93333333333333335</v>
      </c>
      <c r="E157" s="1">
        <v>1</v>
      </c>
    </row>
    <row r="158" spans="1:5" x14ac:dyDescent="0.35">
      <c r="A158" s="3" t="s">
        <v>186</v>
      </c>
      <c r="B158" s="1">
        <v>1</v>
      </c>
      <c r="C158" s="1">
        <v>0.66666666666666663</v>
      </c>
      <c r="D158" s="1">
        <v>0.92777777777777781</v>
      </c>
      <c r="E158" s="1">
        <v>1</v>
      </c>
    </row>
    <row r="159" spans="1:5" x14ac:dyDescent="0.35">
      <c r="A159" s="3" t="s">
        <v>187</v>
      </c>
      <c r="B159" s="1">
        <v>1</v>
      </c>
      <c r="C159" s="1">
        <v>0.4</v>
      </c>
      <c r="D159" s="1">
        <v>1</v>
      </c>
      <c r="E159" s="1">
        <v>1</v>
      </c>
    </row>
    <row r="160" spans="1:5" x14ac:dyDescent="0.35">
      <c r="A160" s="3" t="s">
        <v>188</v>
      </c>
      <c r="B160" s="1">
        <v>1</v>
      </c>
      <c r="C160" s="1">
        <v>0.6</v>
      </c>
      <c r="D160" s="1">
        <v>1</v>
      </c>
      <c r="E160" s="1">
        <v>1</v>
      </c>
    </row>
    <row r="161" spans="1:5" x14ac:dyDescent="0.35">
      <c r="A161" s="3" t="s">
        <v>189</v>
      </c>
      <c r="B161" s="1">
        <v>1</v>
      </c>
      <c r="C161" s="1">
        <v>1</v>
      </c>
      <c r="D161" s="1">
        <v>1</v>
      </c>
      <c r="E161" s="1">
        <v>1</v>
      </c>
    </row>
    <row r="162" spans="1:5" x14ac:dyDescent="0.35">
      <c r="A162" s="3" t="s">
        <v>190</v>
      </c>
      <c r="B162" s="1">
        <v>1</v>
      </c>
      <c r="C162" s="1">
        <v>1</v>
      </c>
      <c r="D162" s="1">
        <v>0.97678018575851389</v>
      </c>
      <c r="E162" s="1">
        <v>1</v>
      </c>
    </row>
    <row r="163" spans="1:5" x14ac:dyDescent="0.35">
      <c r="A163" s="3" t="s">
        <v>191</v>
      </c>
      <c r="B163" s="1">
        <v>1</v>
      </c>
      <c r="C163" s="1">
        <v>0.48148148148148145</v>
      </c>
      <c r="D163" s="1">
        <v>0.93888888888888888</v>
      </c>
      <c r="E163" s="1">
        <v>1</v>
      </c>
    </row>
    <row r="164" spans="1:5" x14ac:dyDescent="0.35">
      <c r="A164" s="3" t="s">
        <v>192</v>
      </c>
      <c r="B164" s="1">
        <v>1</v>
      </c>
      <c r="C164" s="1">
        <v>1</v>
      </c>
      <c r="D164" s="1">
        <v>0.98333333333333328</v>
      </c>
      <c r="E164" s="1">
        <v>1</v>
      </c>
    </row>
    <row r="165" spans="1:5" x14ac:dyDescent="0.35">
      <c r="A165" s="3" t="s">
        <v>193</v>
      </c>
      <c r="B165" s="1">
        <v>1</v>
      </c>
      <c r="C165" s="1">
        <v>0.4</v>
      </c>
      <c r="D165" s="1">
        <v>0.97222222222222221</v>
      </c>
      <c r="E165" s="1">
        <v>1</v>
      </c>
    </row>
    <row r="166" spans="1:5" x14ac:dyDescent="0.35">
      <c r="A166" s="3" t="s">
        <v>194</v>
      </c>
      <c r="B166" s="1">
        <v>1</v>
      </c>
      <c r="C166" s="1">
        <v>0.4</v>
      </c>
      <c r="D166" s="1">
        <v>0.98095238095238091</v>
      </c>
      <c r="E166" s="1">
        <v>1</v>
      </c>
    </row>
    <row r="167" spans="1:5" x14ac:dyDescent="0.35">
      <c r="A167" s="3" t="s">
        <v>207</v>
      </c>
      <c r="B167" s="1">
        <v>1</v>
      </c>
    </row>
    <row r="168" spans="1:5" x14ac:dyDescent="0.35">
      <c r="A168" s="3" t="s">
        <v>208</v>
      </c>
      <c r="B168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EB249-656D-464B-B171-9A95C1DD1FA2}">
  <dimension ref="B2:J614"/>
  <sheetViews>
    <sheetView showGridLines="0" workbookViewId="0">
      <selection activeCell="G14" sqref="G14"/>
    </sheetView>
  </sheetViews>
  <sheetFormatPr defaultRowHeight="14.5" x14ac:dyDescent="0.35"/>
  <cols>
    <col min="2" max="2" width="36.453125" bestFit="1" customWidth="1"/>
    <col min="3" max="3" width="15" bestFit="1" customWidth="1"/>
    <col min="4" max="4" width="26.7265625" bestFit="1" customWidth="1"/>
    <col min="5" max="5" width="11.1796875" style="1" bestFit="1" customWidth="1"/>
    <col min="6" max="6" width="13.1796875" style="1" bestFit="1" customWidth="1"/>
    <col min="7" max="7" width="19.36328125" style="1" bestFit="1" customWidth="1"/>
    <col min="8" max="9" width="7.54296875" style="1" bestFit="1" customWidth="1"/>
    <col min="10" max="10" width="14" bestFit="1" customWidth="1"/>
  </cols>
  <sheetData>
    <row r="2" spans="2:10" x14ac:dyDescent="0.35">
      <c r="B2" s="18" t="s">
        <v>0</v>
      </c>
      <c r="C2" s="18" t="s">
        <v>1</v>
      </c>
      <c r="D2" s="18" t="s">
        <v>2</v>
      </c>
      <c r="E2" s="19" t="s">
        <v>3</v>
      </c>
      <c r="F2" s="19" t="s">
        <v>4</v>
      </c>
      <c r="G2" s="19" t="s">
        <v>5</v>
      </c>
      <c r="H2" s="19" t="s">
        <v>6</v>
      </c>
      <c r="I2" s="19" t="s">
        <v>199</v>
      </c>
      <c r="J2" s="18" t="s">
        <v>7</v>
      </c>
    </row>
    <row r="3" spans="2:10" x14ac:dyDescent="0.35">
      <c r="B3" s="15" t="s">
        <v>8</v>
      </c>
      <c r="C3" s="15" t="s">
        <v>9</v>
      </c>
      <c r="D3" s="15" t="s">
        <v>10</v>
      </c>
      <c r="E3" s="17">
        <v>1</v>
      </c>
      <c r="F3" s="17">
        <v>1</v>
      </c>
      <c r="G3" s="17">
        <v>1</v>
      </c>
      <c r="H3" s="17">
        <v>1</v>
      </c>
      <c r="I3" s="17">
        <v>1</v>
      </c>
      <c r="J3" s="15" t="s">
        <v>11</v>
      </c>
    </row>
    <row r="4" spans="2:10" x14ac:dyDescent="0.35">
      <c r="B4" s="15" t="s">
        <v>12</v>
      </c>
      <c r="C4" s="15" t="s">
        <v>9</v>
      </c>
      <c r="D4" s="15" t="s">
        <v>13</v>
      </c>
      <c r="E4" s="17">
        <v>1</v>
      </c>
      <c r="F4" s="17">
        <v>1</v>
      </c>
      <c r="G4" s="17">
        <v>1</v>
      </c>
      <c r="H4" s="17">
        <v>1</v>
      </c>
      <c r="I4" s="17">
        <v>1</v>
      </c>
      <c r="J4" s="15" t="s">
        <v>11</v>
      </c>
    </row>
    <row r="5" spans="2:10" x14ac:dyDescent="0.35">
      <c r="B5" s="15" t="s">
        <v>14</v>
      </c>
      <c r="C5" s="15" t="s">
        <v>9</v>
      </c>
      <c r="D5" s="15" t="s">
        <v>10</v>
      </c>
      <c r="E5" s="17">
        <v>1</v>
      </c>
      <c r="F5" s="17">
        <v>1</v>
      </c>
      <c r="G5" s="17">
        <v>1</v>
      </c>
      <c r="H5" s="17">
        <v>0.88888888888888884</v>
      </c>
      <c r="I5" s="17">
        <v>0.97222222222222221</v>
      </c>
      <c r="J5" s="15" t="s">
        <v>11</v>
      </c>
    </row>
    <row r="6" spans="2:10" x14ac:dyDescent="0.35">
      <c r="B6" s="15" t="s">
        <v>15</v>
      </c>
      <c r="C6" s="15" t="s">
        <v>9</v>
      </c>
      <c r="D6" s="15" t="s">
        <v>16</v>
      </c>
      <c r="E6" s="17">
        <v>1</v>
      </c>
      <c r="F6" s="17">
        <v>1</v>
      </c>
      <c r="G6" s="17">
        <v>1</v>
      </c>
      <c r="H6" s="17">
        <v>1</v>
      </c>
      <c r="I6" s="17">
        <v>1</v>
      </c>
      <c r="J6" s="15" t="s">
        <v>11</v>
      </c>
    </row>
    <row r="7" spans="2:10" x14ac:dyDescent="0.35">
      <c r="B7" s="15" t="s">
        <v>17</v>
      </c>
      <c r="C7" s="15" t="s">
        <v>9</v>
      </c>
      <c r="D7" s="15" t="s">
        <v>18</v>
      </c>
      <c r="E7" s="17">
        <v>0.85925925925925928</v>
      </c>
      <c r="F7" s="17">
        <v>1</v>
      </c>
      <c r="G7" s="17">
        <v>1</v>
      </c>
      <c r="H7" s="17">
        <v>0.64197530864197527</v>
      </c>
      <c r="I7" s="17">
        <v>0.87530864197530867</v>
      </c>
      <c r="J7" s="15" t="s">
        <v>11</v>
      </c>
    </row>
    <row r="8" spans="2:10" x14ac:dyDescent="0.35">
      <c r="B8" s="15" t="s">
        <v>19</v>
      </c>
      <c r="C8" s="15" t="s">
        <v>9</v>
      </c>
      <c r="D8" s="15" t="s">
        <v>13</v>
      </c>
      <c r="E8" s="17">
        <v>1</v>
      </c>
      <c r="F8" s="17">
        <v>1</v>
      </c>
      <c r="G8" s="17">
        <v>1</v>
      </c>
      <c r="H8" s="17">
        <v>1</v>
      </c>
      <c r="I8" s="17">
        <v>1</v>
      </c>
      <c r="J8" s="15" t="s">
        <v>11</v>
      </c>
    </row>
    <row r="9" spans="2:10" x14ac:dyDescent="0.35">
      <c r="B9" s="15" t="s">
        <v>20</v>
      </c>
      <c r="C9" s="15" t="s">
        <v>9</v>
      </c>
      <c r="D9" s="15" t="s">
        <v>21</v>
      </c>
      <c r="E9" s="17">
        <v>1</v>
      </c>
      <c r="F9" s="17">
        <v>1</v>
      </c>
      <c r="G9" s="17">
        <v>1</v>
      </c>
      <c r="H9" s="17">
        <v>1</v>
      </c>
      <c r="I9" s="17">
        <v>1</v>
      </c>
      <c r="J9" s="15" t="s">
        <v>11</v>
      </c>
    </row>
    <row r="10" spans="2:10" x14ac:dyDescent="0.35">
      <c r="B10" s="15" t="s">
        <v>22</v>
      </c>
      <c r="C10" s="15" t="s">
        <v>9</v>
      </c>
      <c r="D10" s="15" t="s">
        <v>23</v>
      </c>
      <c r="E10" s="17">
        <v>1</v>
      </c>
      <c r="F10" s="17">
        <v>1</v>
      </c>
      <c r="G10" s="17">
        <v>1</v>
      </c>
      <c r="H10" s="17">
        <v>1</v>
      </c>
      <c r="I10" s="17">
        <v>1</v>
      </c>
      <c r="J10" s="15" t="s">
        <v>11</v>
      </c>
    </row>
    <row r="11" spans="2:10" x14ac:dyDescent="0.35">
      <c r="B11" s="15" t="s">
        <v>24</v>
      </c>
      <c r="C11" s="15" t="s">
        <v>9</v>
      </c>
      <c r="D11" s="15" t="s">
        <v>13</v>
      </c>
      <c r="E11" s="17">
        <v>1</v>
      </c>
      <c r="F11" s="17">
        <v>1</v>
      </c>
      <c r="G11" s="17">
        <v>1</v>
      </c>
      <c r="H11" s="17">
        <v>1</v>
      </c>
      <c r="I11" s="17">
        <v>1</v>
      </c>
      <c r="J11" s="15" t="s">
        <v>11</v>
      </c>
    </row>
    <row r="12" spans="2:10" x14ac:dyDescent="0.35">
      <c r="B12" s="15" t="s">
        <v>25</v>
      </c>
      <c r="C12" s="15" t="s">
        <v>9</v>
      </c>
      <c r="D12" s="15" t="s">
        <v>26</v>
      </c>
      <c r="E12" s="17">
        <v>0.99629629629629635</v>
      </c>
      <c r="F12" s="17">
        <v>1</v>
      </c>
      <c r="G12" s="17">
        <v>1</v>
      </c>
      <c r="H12" s="17">
        <v>1</v>
      </c>
      <c r="I12" s="17">
        <v>0.99907407407407411</v>
      </c>
      <c r="J12" s="15" t="s">
        <v>11</v>
      </c>
    </row>
    <row r="13" spans="2:10" x14ac:dyDescent="0.35">
      <c r="B13" s="15" t="s">
        <v>27</v>
      </c>
      <c r="C13" s="15" t="s">
        <v>9</v>
      </c>
      <c r="D13" s="15" t="s">
        <v>26</v>
      </c>
      <c r="E13" s="17">
        <v>0.97083333333333333</v>
      </c>
      <c r="F13" s="17">
        <v>1</v>
      </c>
      <c r="G13" s="17">
        <v>1</v>
      </c>
      <c r="H13" s="17">
        <v>1</v>
      </c>
      <c r="I13" s="17">
        <v>0.9927083333333333</v>
      </c>
      <c r="J13" s="15" t="s">
        <v>11</v>
      </c>
    </row>
    <row r="14" spans="2:10" x14ac:dyDescent="0.35">
      <c r="B14" s="15" t="s">
        <v>28</v>
      </c>
      <c r="C14" s="15" t="s">
        <v>29</v>
      </c>
      <c r="D14" s="15" t="s">
        <v>30</v>
      </c>
      <c r="E14" s="17">
        <v>0.94153846153846155</v>
      </c>
      <c r="F14" s="17">
        <v>1</v>
      </c>
      <c r="G14" s="17">
        <v>0.96</v>
      </c>
      <c r="H14" s="17">
        <v>0.98222222222222222</v>
      </c>
      <c r="I14" s="17">
        <v>0.97094017094017093</v>
      </c>
      <c r="J14" s="15" t="s">
        <v>11</v>
      </c>
    </row>
    <row r="15" spans="2:10" x14ac:dyDescent="0.35">
      <c r="B15" s="15" t="s">
        <v>31</v>
      </c>
      <c r="C15" s="15" t="s">
        <v>29</v>
      </c>
      <c r="D15" s="15" t="s">
        <v>30</v>
      </c>
      <c r="E15" s="17">
        <v>0.96011396011396011</v>
      </c>
      <c r="F15" s="17">
        <v>1</v>
      </c>
      <c r="G15" s="17">
        <v>0.9747474747474747</v>
      </c>
      <c r="H15" s="17">
        <v>1</v>
      </c>
      <c r="I15" s="17">
        <v>0.98371535871535865</v>
      </c>
      <c r="J15" s="15" t="s">
        <v>11</v>
      </c>
    </row>
    <row r="16" spans="2:10" x14ac:dyDescent="0.35">
      <c r="B16" s="15" t="s">
        <v>32</v>
      </c>
      <c r="C16" s="15" t="s">
        <v>29</v>
      </c>
      <c r="D16" s="15" t="s">
        <v>30</v>
      </c>
      <c r="E16" s="17">
        <v>0.94939271255060731</v>
      </c>
      <c r="F16" s="17">
        <v>1</v>
      </c>
      <c r="G16" s="17">
        <v>1</v>
      </c>
      <c r="H16" s="17">
        <v>1</v>
      </c>
      <c r="I16" s="17">
        <v>0.98734817813765186</v>
      </c>
      <c r="J16" s="15" t="s">
        <v>11</v>
      </c>
    </row>
    <row r="17" spans="2:10" x14ac:dyDescent="0.35">
      <c r="B17" s="15" t="s">
        <v>33</v>
      </c>
      <c r="C17" s="15" t="s">
        <v>29</v>
      </c>
      <c r="D17" s="15" t="s">
        <v>30</v>
      </c>
      <c r="E17" s="17">
        <v>0.947209653092006</v>
      </c>
      <c r="F17" s="17">
        <v>0.9882352941176471</v>
      </c>
      <c r="G17" s="17">
        <v>0.96791443850267378</v>
      </c>
      <c r="H17" s="17">
        <v>0.94117647058823528</v>
      </c>
      <c r="I17" s="17">
        <v>0.96113396407514062</v>
      </c>
      <c r="J17" s="15" t="s">
        <v>11</v>
      </c>
    </row>
    <row r="18" spans="2:10" x14ac:dyDescent="0.35">
      <c r="B18" s="15" t="s">
        <v>34</v>
      </c>
      <c r="C18" s="15" t="s">
        <v>35</v>
      </c>
      <c r="D18" s="15" t="s">
        <v>30</v>
      </c>
      <c r="E18" s="17">
        <v>1</v>
      </c>
      <c r="F18" s="17">
        <v>1</v>
      </c>
      <c r="G18" s="17">
        <v>1</v>
      </c>
      <c r="H18" s="17">
        <v>1</v>
      </c>
      <c r="I18" s="17">
        <v>1</v>
      </c>
      <c r="J18" s="15" t="s">
        <v>11</v>
      </c>
    </row>
    <row r="19" spans="2:10" x14ac:dyDescent="0.35">
      <c r="B19" s="15" t="s">
        <v>36</v>
      </c>
      <c r="C19" s="15" t="s">
        <v>35</v>
      </c>
      <c r="D19" s="15" t="s">
        <v>30</v>
      </c>
      <c r="E19" s="17">
        <v>0.86596736596736601</v>
      </c>
      <c r="F19" s="17">
        <v>0.62045454545454548</v>
      </c>
      <c r="G19" s="17">
        <v>0.77272727272727271</v>
      </c>
      <c r="H19" s="17">
        <v>0.71212121212121215</v>
      </c>
      <c r="I19" s="17">
        <v>0.74281759906759914</v>
      </c>
      <c r="J19" s="15" t="s">
        <v>11</v>
      </c>
    </row>
    <row r="20" spans="2:10" x14ac:dyDescent="0.35">
      <c r="B20" s="15" t="s">
        <v>37</v>
      </c>
      <c r="C20" s="15" t="s">
        <v>35</v>
      </c>
      <c r="D20" s="15" t="s">
        <v>30</v>
      </c>
      <c r="E20" s="17">
        <v>0.95540308747855918</v>
      </c>
      <c r="F20" s="17">
        <v>0.86458333333333337</v>
      </c>
      <c r="G20" s="17">
        <v>0.87662337662337664</v>
      </c>
      <c r="H20" s="17">
        <v>0.8666666666666667</v>
      </c>
      <c r="I20" s="17">
        <v>0.89081911602548403</v>
      </c>
      <c r="J20" s="15" t="s">
        <v>11</v>
      </c>
    </row>
    <row r="21" spans="2:10" x14ac:dyDescent="0.35">
      <c r="B21" s="15" t="s">
        <v>38</v>
      </c>
      <c r="C21" s="15" t="s">
        <v>35</v>
      </c>
      <c r="D21" s="15" t="s">
        <v>30</v>
      </c>
      <c r="E21" s="17">
        <v>0.93846153846153846</v>
      </c>
      <c r="F21" s="17">
        <v>0.92</v>
      </c>
      <c r="G21" s="17">
        <v>0.96363636363636362</v>
      </c>
      <c r="H21" s="17">
        <v>1</v>
      </c>
      <c r="I21" s="17">
        <v>0.95552447552447561</v>
      </c>
      <c r="J21" s="15" t="s">
        <v>11</v>
      </c>
    </row>
    <row r="22" spans="2:10" x14ac:dyDescent="0.35">
      <c r="B22" s="15" t="s">
        <v>39</v>
      </c>
      <c r="C22" s="15" t="s">
        <v>35</v>
      </c>
      <c r="D22" s="15" t="s">
        <v>30</v>
      </c>
      <c r="E22" s="17">
        <v>0.94700854700854697</v>
      </c>
      <c r="F22" s="17">
        <v>0.93333333333333335</v>
      </c>
      <c r="G22" s="17">
        <v>0.95454545454545459</v>
      </c>
      <c r="H22" s="17">
        <v>0.8</v>
      </c>
      <c r="I22" s="17">
        <v>0.90872183372183368</v>
      </c>
      <c r="J22" s="15" t="s">
        <v>11</v>
      </c>
    </row>
    <row r="23" spans="2:10" x14ac:dyDescent="0.35">
      <c r="B23" s="15" t="s">
        <v>40</v>
      </c>
      <c r="C23" s="15" t="s">
        <v>35</v>
      </c>
      <c r="D23" s="15" t="s">
        <v>30</v>
      </c>
      <c r="E23" s="17">
        <v>0.91880341880341876</v>
      </c>
      <c r="F23" s="17">
        <v>0.90625</v>
      </c>
      <c r="G23" s="17">
        <v>0.87310606060606055</v>
      </c>
      <c r="H23" s="17">
        <v>0.84722222222222221</v>
      </c>
      <c r="I23" s="17">
        <v>0.88634542540792538</v>
      </c>
      <c r="J23" s="15" t="s">
        <v>11</v>
      </c>
    </row>
    <row r="24" spans="2:10" x14ac:dyDescent="0.35">
      <c r="B24" s="15" t="s">
        <v>41</v>
      </c>
      <c r="C24" s="15" t="s">
        <v>35</v>
      </c>
      <c r="D24" s="15" t="s">
        <v>30</v>
      </c>
      <c r="E24" s="17">
        <v>1</v>
      </c>
      <c r="F24" s="17">
        <v>1</v>
      </c>
      <c r="G24" s="17">
        <v>1</v>
      </c>
      <c r="H24" s="17">
        <v>1</v>
      </c>
      <c r="I24" s="17">
        <v>1</v>
      </c>
      <c r="J24" s="15" t="s">
        <v>11</v>
      </c>
    </row>
    <row r="25" spans="2:10" x14ac:dyDescent="0.35">
      <c r="B25" s="15" t="s">
        <v>42</v>
      </c>
      <c r="C25" s="15" t="s">
        <v>9</v>
      </c>
      <c r="D25" s="15" t="s">
        <v>43</v>
      </c>
      <c r="E25" s="17">
        <v>0.96363636363636362</v>
      </c>
      <c r="F25" s="17">
        <v>0.95909090909090911</v>
      </c>
      <c r="G25" s="17">
        <v>0.88842975206611574</v>
      </c>
      <c r="H25" s="17">
        <v>0.97979797979797978</v>
      </c>
      <c r="I25" s="17">
        <v>0.94773875114784201</v>
      </c>
      <c r="J25" s="15" t="s">
        <v>11</v>
      </c>
    </row>
    <row r="26" spans="2:10" x14ac:dyDescent="0.35">
      <c r="B26" s="15" t="s">
        <v>44</v>
      </c>
      <c r="C26" s="15" t="s">
        <v>9</v>
      </c>
      <c r="D26" s="15" t="s">
        <v>43</v>
      </c>
      <c r="E26" s="17">
        <v>0.99679487179487181</v>
      </c>
      <c r="F26" s="17">
        <v>0.98124999999999996</v>
      </c>
      <c r="G26" s="17">
        <v>1</v>
      </c>
      <c r="H26" s="17">
        <v>0.95833333333333337</v>
      </c>
      <c r="I26" s="17">
        <v>0.98409455128205126</v>
      </c>
      <c r="J26" s="15" t="s">
        <v>11</v>
      </c>
    </row>
    <row r="27" spans="2:10" x14ac:dyDescent="0.35">
      <c r="B27" s="15" t="s">
        <v>45</v>
      </c>
      <c r="C27" s="15" t="s">
        <v>9</v>
      </c>
      <c r="D27" s="15" t="s">
        <v>23</v>
      </c>
      <c r="E27" s="17">
        <v>0.93333333333333335</v>
      </c>
      <c r="F27" s="17">
        <v>0.97499999999999998</v>
      </c>
      <c r="G27" s="17">
        <v>0.66590909090909089</v>
      </c>
      <c r="H27" s="17">
        <v>0.35</v>
      </c>
      <c r="I27" s="17">
        <v>0.73106060606060608</v>
      </c>
      <c r="J27" s="15" t="s">
        <v>11</v>
      </c>
    </row>
    <row r="28" spans="2:10" x14ac:dyDescent="0.35">
      <c r="B28" s="15" t="s">
        <v>46</v>
      </c>
      <c r="C28" s="15" t="s">
        <v>9</v>
      </c>
      <c r="D28" s="15" t="s">
        <v>26</v>
      </c>
      <c r="E28" s="17">
        <v>0.9643962848297214</v>
      </c>
      <c r="F28" s="17">
        <v>0.9882352941176471</v>
      </c>
      <c r="G28" s="17">
        <v>1</v>
      </c>
      <c r="H28" s="17">
        <v>0</v>
      </c>
      <c r="I28" s="17">
        <v>0.73815789473684212</v>
      </c>
      <c r="J28" s="15" t="s">
        <v>11</v>
      </c>
    </row>
    <row r="29" spans="2:10" x14ac:dyDescent="0.35">
      <c r="B29" s="15" t="s">
        <v>47</v>
      </c>
      <c r="C29" s="15" t="s">
        <v>9</v>
      </c>
      <c r="D29" s="15" t="s">
        <v>48</v>
      </c>
      <c r="E29" s="17">
        <v>1</v>
      </c>
      <c r="F29" s="17">
        <v>1</v>
      </c>
      <c r="G29" s="17">
        <v>1</v>
      </c>
      <c r="H29" s="17">
        <v>1</v>
      </c>
      <c r="I29" s="17">
        <v>1</v>
      </c>
      <c r="J29" s="15" t="s">
        <v>11</v>
      </c>
    </row>
    <row r="30" spans="2:10" x14ac:dyDescent="0.35">
      <c r="B30" s="15" t="s">
        <v>49</v>
      </c>
      <c r="C30" s="15" t="s">
        <v>9</v>
      </c>
      <c r="D30" s="15" t="s">
        <v>26</v>
      </c>
      <c r="E30" s="17">
        <v>1</v>
      </c>
      <c r="F30" s="17">
        <v>1</v>
      </c>
      <c r="G30" s="17">
        <v>1</v>
      </c>
      <c r="H30" s="17">
        <v>0.77777777777777779</v>
      </c>
      <c r="I30" s="17">
        <v>0.94444444444444442</v>
      </c>
      <c r="J30" s="15" t="s">
        <v>11</v>
      </c>
    </row>
    <row r="31" spans="2:10" x14ac:dyDescent="0.35">
      <c r="B31" s="15" t="s">
        <v>50</v>
      </c>
      <c r="C31" s="15" t="s">
        <v>9</v>
      </c>
      <c r="D31" s="15" t="s">
        <v>26</v>
      </c>
      <c r="E31" s="17">
        <v>1</v>
      </c>
      <c r="F31" s="17">
        <v>1</v>
      </c>
      <c r="G31" s="17">
        <v>1</v>
      </c>
      <c r="H31" s="17">
        <v>0.77777777777777779</v>
      </c>
      <c r="I31" s="17">
        <v>0.94444444444444442</v>
      </c>
      <c r="J31" s="15" t="s">
        <v>11</v>
      </c>
    </row>
    <row r="32" spans="2:10" x14ac:dyDescent="0.35">
      <c r="B32" s="15" t="s">
        <v>51</v>
      </c>
      <c r="C32" s="15" t="s">
        <v>9</v>
      </c>
      <c r="D32" s="15" t="s">
        <v>26</v>
      </c>
      <c r="E32" s="17">
        <v>0.96666666666666667</v>
      </c>
      <c r="F32" s="17">
        <v>1</v>
      </c>
      <c r="G32" s="17">
        <v>1</v>
      </c>
      <c r="H32" s="17">
        <v>0.77037037037037037</v>
      </c>
      <c r="I32" s="17">
        <v>0.93425925925925934</v>
      </c>
      <c r="J32" s="15" t="s">
        <v>11</v>
      </c>
    </row>
    <row r="33" spans="2:10" x14ac:dyDescent="0.35">
      <c r="B33" s="15" t="s">
        <v>52</v>
      </c>
      <c r="C33" s="15" t="s">
        <v>9</v>
      </c>
      <c r="D33" s="15" t="s">
        <v>26</v>
      </c>
      <c r="E33" s="17">
        <v>0.97666666666666668</v>
      </c>
      <c r="F33" s="17">
        <v>0.995</v>
      </c>
      <c r="G33" s="17">
        <v>0.9</v>
      </c>
      <c r="H33" s="17">
        <v>0.82222222222222219</v>
      </c>
      <c r="I33" s="17">
        <v>0.92347222222222225</v>
      </c>
      <c r="J33" s="15" t="s">
        <v>11</v>
      </c>
    </row>
    <row r="34" spans="2:10" x14ac:dyDescent="0.35">
      <c r="B34" s="15" t="s">
        <v>53</v>
      </c>
      <c r="C34" s="15" t="s">
        <v>9</v>
      </c>
      <c r="D34" s="15" t="s">
        <v>54</v>
      </c>
      <c r="E34" s="17">
        <v>0.80476190476190479</v>
      </c>
      <c r="F34" s="17">
        <v>0.94285714285714284</v>
      </c>
      <c r="G34" s="17">
        <v>0.87012987012987009</v>
      </c>
      <c r="H34" s="17">
        <v>0.95238095238095233</v>
      </c>
      <c r="I34" s="17">
        <v>0.89253246753246751</v>
      </c>
      <c r="J34" s="15" t="s">
        <v>11</v>
      </c>
    </row>
    <row r="35" spans="2:10" x14ac:dyDescent="0.35">
      <c r="B35" s="15" t="s">
        <v>55</v>
      </c>
      <c r="C35" s="15" t="s">
        <v>9</v>
      </c>
      <c r="D35" s="15" t="s">
        <v>43</v>
      </c>
      <c r="E35" s="17">
        <v>0.97037037037037033</v>
      </c>
      <c r="F35" s="17">
        <v>1</v>
      </c>
      <c r="G35" s="17">
        <v>1</v>
      </c>
      <c r="H35" s="17">
        <v>1</v>
      </c>
      <c r="I35" s="17">
        <v>0.99259259259259258</v>
      </c>
      <c r="J35" s="15" t="s">
        <v>11</v>
      </c>
    </row>
    <row r="36" spans="2:10" x14ac:dyDescent="0.35">
      <c r="B36" s="15" t="s">
        <v>56</v>
      </c>
      <c r="C36" s="15" t="s">
        <v>9</v>
      </c>
      <c r="D36" s="15" t="s">
        <v>57</v>
      </c>
      <c r="E36" s="17">
        <v>1</v>
      </c>
      <c r="F36" s="17">
        <v>1</v>
      </c>
      <c r="G36" s="17">
        <v>1</v>
      </c>
      <c r="H36" s="17">
        <v>0.96296296296296291</v>
      </c>
      <c r="I36" s="17">
        <v>0.9907407407407407</v>
      </c>
      <c r="J36" s="15" t="s">
        <v>11</v>
      </c>
    </row>
    <row r="37" spans="2:10" x14ac:dyDescent="0.35">
      <c r="B37" s="15" t="s">
        <v>58</v>
      </c>
      <c r="C37" s="15" t="s">
        <v>9</v>
      </c>
      <c r="D37" s="15" t="s">
        <v>10</v>
      </c>
      <c r="E37" s="17">
        <v>1</v>
      </c>
      <c r="F37" s="17">
        <v>1</v>
      </c>
      <c r="G37" s="17">
        <v>1</v>
      </c>
      <c r="H37" s="17">
        <v>1</v>
      </c>
      <c r="I37" s="17">
        <v>1</v>
      </c>
      <c r="J37" s="15" t="s">
        <v>11</v>
      </c>
    </row>
    <row r="38" spans="2:10" x14ac:dyDescent="0.35">
      <c r="B38" s="15" t="s">
        <v>59</v>
      </c>
      <c r="C38" s="15" t="s">
        <v>9</v>
      </c>
      <c r="D38" s="15" t="s">
        <v>26</v>
      </c>
      <c r="E38" s="17">
        <v>1</v>
      </c>
      <c r="F38" s="17">
        <v>1</v>
      </c>
      <c r="G38" s="17">
        <v>1</v>
      </c>
      <c r="H38" s="17">
        <v>1</v>
      </c>
      <c r="I38" s="17">
        <v>1</v>
      </c>
      <c r="J38" s="15" t="s">
        <v>11</v>
      </c>
    </row>
    <row r="39" spans="2:10" x14ac:dyDescent="0.35">
      <c r="B39" s="15" t="s">
        <v>60</v>
      </c>
      <c r="C39" s="15" t="s">
        <v>9</v>
      </c>
      <c r="D39" s="15" t="s">
        <v>26</v>
      </c>
      <c r="E39" s="17">
        <v>0.82380952380952377</v>
      </c>
      <c r="F39" s="17">
        <v>0.97142857142857142</v>
      </c>
      <c r="G39" s="17">
        <v>0.97077922077922074</v>
      </c>
      <c r="H39" s="17">
        <v>0.98412698412698407</v>
      </c>
      <c r="I39" s="17">
        <v>0.93753607503607506</v>
      </c>
      <c r="J39" s="15" t="s">
        <v>11</v>
      </c>
    </row>
    <row r="40" spans="2:10" x14ac:dyDescent="0.35">
      <c r="B40" s="15" t="s">
        <v>61</v>
      </c>
      <c r="C40" s="15" t="s">
        <v>9</v>
      </c>
      <c r="D40" s="15" t="s">
        <v>23</v>
      </c>
      <c r="E40" s="17">
        <v>0.99342105263157898</v>
      </c>
      <c r="F40" s="17">
        <v>0.97499999999999998</v>
      </c>
      <c r="G40" s="17">
        <v>1</v>
      </c>
      <c r="H40" s="17">
        <v>0.98611111111111116</v>
      </c>
      <c r="I40" s="17">
        <v>0.9886330409356725</v>
      </c>
      <c r="J40" s="15" t="s">
        <v>11</v>
      </c>
    </row>
    <row r="41" spans="2:10" x14ac:dyDescent="0.35">
      <c r="B41" s="15" t="s">
        <v>62</v>
      </c>
      <c r="C41" s="15" t="s">
        <v>9</v>
      </c>
      <c r="D41" s="15" t="s">
        <v>23</v>
      </c>
      <c r="E41" s="17">
        <v>1</v>
      </c>
      <c r="F41" s="17">
        <v>1</v>
      </c>
      <c r="G41" s="17">
        <v>1</v>
      </c>
      <c r="H41" s="17">
        <v>1</v>
      </c>
      <c r="I41" s="17">
        <v>1</v>
      </c>
      <c r="J41" s="15" t="s">
        <v>11</v>
      </c>
    </row>
    <row r="42" spans="2:10" x14ac:dyDescent="0.35">
      <c r="B42" s="15" t="s">
        <v>63</v>
      </c>
      <c r="C42" s="15" t="s">
        <v>9</v>
      </c>
      <c r="D42" s="15" t="s">
        <v>26</v>
      </c>
      <c r="E42" s="17">
        <v>0.96666666666666667</v>
      </c>
      <c r="F42" s="17">
        <v>1</v>
      </c>
      <c r="G42" s="17">
        <v>1</v>
      </c>
      <c r="H42" s="17">
        <v>0.77777777777777779</v>
      </c>
      <c r="I42" s="17">
        <v>0.93611111111111112</v>
      </c>
      <c r="J42" s="15" t="s">
        <v>11</v>
      </c>
    </row>
    <row r="43" spans="2:10" x14ac:dyDescent="0.35">
      <c r="B43" s="15" t="s">
        <v>64</v>
      </c>
      <c r="C43" s="15" t="s">
        <v>9</v>
      </c>
      <c r="D43" s="15" t="s">
        <v>65</v>
      </c>
      <c r="E43" s="17">
        <v>0.99885583524027455</v>
      </c>
      <c r="F43" s="17">
        <v>1</v>
      </c>
      <c r="G43" s="17">
        <v>1</v>
      </c>
      <c r="H43" s="17">
        <v>1</v>
      </c>
      <c r="I43" s="17">
        <v>0.99971395881006864</v>
      </c>
      <c r="J43" s="15" t="s">
        <v>11</v>
      </c>
    </row>
    <row r="44" spans="2:10" x14ac:dyDescent="0.35">
      <c r="B44" s="15" t="s">
        <v>66</v>
      </c>
      <c r="C44" s="15" t="s">
        <v>9</v>
      </c>
      <c r="D44" s="15" t="s">
        <v>48</v>
      </c>
      <c r="E44" s="17">
        <v>1</v>
      </c>
      <c r="F44" s="17">
        <v>1</v>
      </c>
      <c r="G44" s="17">
        <v>1</v>
      </c>
      <c r="H44" s="17">
        <v>1</v>
      </c>
      <c r="I44" s="17">
        <v>1</v>
      </c>
      <c r="J44" s="15" t="s">
        <v>11</v>
      </c>
    </row>
    <row r="45" spans="2:10" x14ac:dyDescent="0.35">
      <c r="B45" s="15" t="s">
        <v>67</v>
      </c>
      <c r="C45" s="15" t="s">
        <v>9</v>
      </c>
      <c r="D45" s="15" t="s">
        <v>18</v>
      </c>
      <c r="E45" s="17">
        <v>0.91228070175438591</v>
      </c>
      <c r="F45" s="17">
        <v>0.97499999999999998</v>
      </c>
      <c r="G45" s="17">
        <v>0.98989898989898994</v>
      </c>
      <c r="H45" s="17">
        <v>0.87037037037037035</v>
      </c>
      <c r="I45" s="17">
        <v>0.93688751550593652</v>
      </c>
      <c r="J45" s="15" t="s">
        <v>11</v>
      </c>
    </row>
    <row r="46" spans="2:10" x14ac:dyDescent="0.35">
      <c r="B46" s="15" t="s">
        <v>68</v>
      </c>
      <c r="C46" s="15" t="s">
        <v>9</v>
      </c>
      <c r="D46" s="15" t="s">
        <v>26</v>
      </c>
      <c r="E46" s="17">
        <v>0.43809523809523809</v>
      </c>
      <c r="F46" s="17">
        <v>0.55714285714285716</v>
      </c>
      <c r="G46" s="17">
        <v>0.48701298701298701</v>
      </c>
      <c r="H46" s="17">
        <v>0.82539682539682535</v>
      </c>
      <c r="I46" s="17">
        <v>0.57691197691197682</v>
      </c>
      <c r="J46" s="15" t="s">
        <v>11</v>
      </c>
    </row>
    <row r="47" spans="2:10" x14ac:dyDescent="0.35">
      <c r="B47" s="15" t="s">
        <v>69</v>
      </c>
      <c r="C47" s="15" t="s">
        <v>9</v>
      </c>
      <c r="D47" s="15" t="s">
        <v>43</v>
      </c>
      <c r="E47" s="17">
        <v>0.98888888888888893</v>
      </c>
      <c r="F47" s="17">
        <v>1</v>
      </c>
      <c r="G47" s="17">
        <v>1</v>
      </c>
      <c r="H47" s="17">
        <v>1</v>
      </c>
      <c r="I47" s="17">
        <v>0.99722222222222223</v>
      </c>
      <c r="J47" s="15" t="s">
        <v>11</v>
      </c>
    </row>
    <row r="48" spans="2:10" x14ac:dyDescent="0.35">
      <c r="B48" s="15" t="s">
        <v>70</v>
      </c>
      <c r="C48" s="15" t="s">
        <v>9</v>
      </c>
      <c r="D48" s="15" t="s">
        <v>23</v>
      </c>
      <c r="E48" s="17">
        <v>1</v>
      </c>
      <c r="F48" s="17">
        <v>1</v>
      </c>
      <c r="G48" s="17">
        <v>1</v>
      </c>
      <c r="H48" s="17">
        <v>1</v>
      </c>
      <c r="I48" s="17">
        <v>1</v>
      </c>
      <c r="J48" s="15" t="s">
        <v>11</v>
      </c>
    </row>
    <row r="49" spans="2:10" x14ac:dyDescent="0.35">
      <c r="B49" s="15" t="s">
        <v>71</v>
      </c>
      <c r="C49" s="15" t="s">
        <v>9</v>
      </c>
      <c r="D49" s="15" t="s">
        <v>23</v>
      </c>
      <c r="E49" s="17">
        <v>0.99583333333333335</v>
      </c>
      <c r="F49" s="17">
        <v>1</v>
      </c>
      <c r="G49" s="17">
        <v>0.98863636363636365</v>
      </c>
      <c r="H49" s="17">
        <v>0.75</v>
      </c>
      <c r="I49" s="17">
        <v>0.93361742424242422</v>
      </c>
      <c r="J49" s="15" t="s">
        <v>11</v>
      </c>
    </row>
    <row r="50" spans="2:10" x14ac:dyDescent="0.35">
      <c r="B50" s="15" t="s">
        <v>72</v>
      </c>
      <c r="C50" s="15" t="s">
        <v>9</v>
      </c>
      <c r="D50" s="15" t="s">
        <v>23</v>
      </c>
      <c r="E50" s="17">
        <v>0.96666666666666667</v>
      </c>
      <c r="F50" s="17">
        <v>1</v>
      </c>
      <c r="G50" s="17">
        <v>1</v>
      </c>
      <c r="H50" s="17">
        <v>0.77777777777777779</v>
      </c>
      <c r="I50" s="17">
        <v>0.93611111111111112</v>
      </c>
      <c r="J50" s="15" t="s">
        <v>11</v>
      </c>
    </row>
    <row r="51" spans="2:10" x14ac:dyDescent="0.35">
      <c r="B51" s="15" t="s">
        <v>73</v>
      </c>
      <c r="C51" s="15" t="s">
        <v>74</v>
      </c>
      <c r="D51" s="15" t="s">
        <v>30</v>
      </c>
      <c r="E51" s="17">
        <v>1</v>
      </c>
      <c r="F51" s="17">
        <v>1</v>
      </c>
      <c r="G51" s="17">
        <v>1</v>
      </c>
      <c r="H51" s="17">
        <v>1</v>
      </c>
      <c r="I51" s="17">
        <v>1</v>
      </c>
      <c r="J51" s="15" t="s">
        <v>11</v>
      </c>
    </row>
    <row r="52" spans="2:10" x14ac:dyDescent="0.35">
      <c r="B52" s="15" t="s">
        <v>75</v>
      </c>
      <c r="C52" s="15" t="s">
        <v>74</v>
      </c>
      <c r="D52" s="15" t="s">
        <v>30</v>
      </c>
      <c r="E52" s="17">
        <v>1</v>
      </c>
      <c r="F52" s="17">
        <v>1</v>
      </c>
      <c r="G52" s="17">
        <v>1</v>
      </c>
      <c r="H52" s="17">
        <v>1</v>
      </c>
      <c r="I52" s="17">
        <v>1</v>
      </c>
      <c r="J52" s="15" t="s">
        <v>11</v>
      </c>
    </row>
    <row r="53" spans="2:10" x14ac:dyDescent="0.35">
      <c r="B53" s="15" t="s">
        <v>76</v>
      </c>
      <c r="C53" s="15" t="s">
        <v>74</v>
      </c>
      <c r="D53" s="15" t="s">
        <v>30</v>
      </c>
      <c r="E53" s="17">
        <v>0.97235023041474655</v>
      </c>
      <c r="F53" s="17">
        <v>1</v>
      </c>
      <c r="G53" s="17">
        <v>1</v>
      </c>
      <c r="H53" s="17">
        <v>1</v>
      </c>
      <c r="I53" s="17">
        <v>0.99308755760368661</v>
      </c>
      <c r="J53" s="15" t="s">
        <v>11</v>
      </c>
    </row>
    <row r="54" spans="2:10" x14ac:dyDescent="0.35">
      <c r="B54" s="15" t="s">
        <v>77</v>
      </c>
      <c r="C54" s="15" t="s">
        <v>74</v>
      </c>
      <c r="D54" s="15" t="s">
        <v>30</v>
      </c>
      <c r="E54" s="17">
        <v>0.99108138238573018</v>
      </c>
      <c r="F54" s="17">
        <v>1</v>
      </c>
      <c r="G54" s="17">
        <v>1</v>
      </c>
      <c r="H54" s="17">
        <v>1</v>
      </c>
      <c r="I54" s="17">
        <v>0.99777034559643252</v>
      </c>
      <c r="J54" s="15" t="s">
        <v>11</v>
      </c>
    </row>
    <row r="55" spans="2:10" x14ac:dyDescent="0.35">
      <c r="B55" s="15" t="s">
        <v>78</v>
      </c>
      <c r="C55" s="15" t="s">
        <v>9</v>
      </c>
      <c r="D55" s="15" t="s">
        <v>23</v>
      </c>
      <c r="E55" s="17">
        <v>0.97407407407407409</v>
      </c>
      <c r="F55" s="17">
        <v>1</v>
      </c>
      <c r="G55" s="17">
        <v>1</v>
      </c>
      <c r="H55" s="17">
        <v>0.81481481481481477</v>
      </c>
      <c r="I55" s="17">
        <v>0.94722222222222219</v>
      </c>
      <c r="J55" s="15" t="s">
        <v>11</v>
      </c>
    </row>
    <row r="56" spans="2:10" x14ac:dyDescent="0.35">
      <c r="B56" s="15" t="s">
        <v>79</v>
      </c>
      <c r="C56" s="15" t="s">
        <v>9</v>
      </c>
      <c r="D56" s="15" t="s">
        <v>43</v>
      </c>
      <c r="E56" s="17">
        <v>0.96666666666666667</v>
      </c>
      <c r="F56" s="17">
        <v>1</v>
      </c>
      <c r="G56" s="17">
        <v>1</v>
      </c>
      <c r="H56" s="17">
        <v>1</v>
      </c>
      <c r="I56" s="17">
        <v>0.9916666666666667</v>
      </c>
      <c r="J56" s="15" t="s">
        <v>11</v>
      </c>
    </row>
    <row r="57" spans="2:10" x14ac:dyDescent="0.35">
      <c r="B57" s="15" t="s">
        <v>80</v>
      </c>
      <c r="C57" s="15" t="s">
        <v>9</v>
      </c>
      <c r="D57" s="15" t="s">
        <v>57</v>
      </c>
      <c r="E57" s="17">
        <v>1</v>
      </c>
      <c r="F57" s="17">
        <v>1</v>
      </c>
      <c r="G57" s="17">
        <v>1</v>
      </c>
      <c r="H57" s="17">
        <v>1</v>
      </c>
      <c r="I57" s="17">
        <v>1</v>
      </c>
      <c r="J57" s="15" t="s">
        <v>11</v>
      </c>
    </row>
    <row r="58" spans="2:10" x14ac:dyDescent="0.35">
      <c r="B58" s="15" t="s">
        <v>81</v>
      </c>
      <c r="C58" s="15" t="s">
        <v>9</v>
      </c>
      <c r="D58" s="15" t="s">
        <v>57</v>
      </c>
      <c r="E58" s="17">
        <v>1</v>
      </c>
      <c r="F58" s="17">
        <v>1</v>
      </c>
      <c r="G58" s="17">
        <v>1</v>
      </c>
      <c r="H58" s="17">
        <v>1</v>
      </c>
      <c r="I58" s="17">
        <v>1</v>
      </c>
      <c r="J58" s="15" t="s">
        <v>11</v>
      </c>
    </row>
    <row r="59" spans="2:10" x14ac:dyDescent="0.35">
      <c r="B59" s="15" t="s">
        <v>82</v>
      </c>
      <c r="C59" s="15" t="s">
        <v>9</v>
      </c>
      <c r="D59" s="15" t="s">
        <v>26</v>
      </c>
      <c r="E59" s="17">
        <v>0.98666666666666669</v>
      </c>
      <c r="F59" s="17">
        <v>0.98</v>
      </c>
      <c r="G59" s="17">
        <v>1</v>
      </c>
      <c r="H59" s="17">
        <v>0.97777777777777775</v>
      </c>
      <c r="I59" s="17">
        <v>0.98611111111111116</v>
      </c>
      <c r="J59" s="15" t="s">
        <v>11</v>
      </c>
    </row>
    <row r="60" spans="2:10" x14ac:dyDescent="0.35">
      <c r="B60" s="15" t="s">
        <v>83</v>
      </c>
      <c r="C60" s="15" t="s">
        <v>84</v>
      </c>
      <c r="D60" s="15" t="s">
        <v>30</v>
      </c>
      <c r="E60" s="17">
        <v>1</v>
      </c>
      <c r="F60" s="17">
        <v>1</v>
      </c>
      <c r="G60" s="17">
        <v>1</v>
      </c>
      <c r="H60" s="17">
        <v>1</v>
      </c>
      <c r="I60" s="17">
        <v>1</v>
      </c>
      <c r="J60" s="15" t="s">
        <v>11</v>
      </c>
    </row>
    <row r="61" spans="2:10" x14ac:dyDescent="0.35">
      <c r="B61" s="15" t="s">
        <v>85</v>
      </c>
      <c r="C61" s="15" t="s">
        <v>84</v>
      </c>
      <c r="D61" s="15" t="s">
        <v>30</v>
      </c>
      <c r="E61" s="17">
        <v>1</v>
      </c>
      <c r="F61" s="17">
        <v>0.99583333333333335</v>
      </c>
      <c r="G61" s="17">
        <v>1</v>
      </c>
      <c r="H61" s="17">
        <v>1</v>
      </c>
      <c r="I61" s="17">
        <v>0.99895833333333339</v>
      </c>
      <c r="J61" s="15" t="s">
        <v>11</v>
      </c>
    </row>
    <row r="62" spans="2:10" x14ac:dyDescent="0.35">
      <c r="B62" s="15" t="s">
        <v>86</v>
      </c>
      <c r="C62" s="15" t="s">
        <v>84</v>
      </c>
      <c r="D62" s="15" t="s">
        <v>30</v>
      </c>
      <c r="E62" s="17">
        <v>1</v>
      </c>
      <c r="F62" s="17">
        <v>1</v>
      </c>
      <c r="G62" s="17">
        <v>1</v>
      </c>
      <c r="H62" s="17">
        <v>1</v>
      </c>
      <c r="I62" s="17">
        <v>1</v>
      </c>
      <c r="J62" s="15" t="s">
        <v>11</v>
      </c>
    </row>
    <row r="63" spans="2:10" x14ac:dyDescent="0.35">
      <c r="B63" s="15" t="s">
        <v>87</v>
      </c>
      <c r="C63" s="15" t="s">
        <v>84</v>
      </c>
      <c r="D63" s="15" t="s">
        <v>30</v>
      </c>
      <c r="E63" s="17">
        <v>1</v>
      </c>
      <c r="F63" s="17">
        <v>1</v>
      </c>
      <c r="G63" s="17">
        <v>1</v>
      </c>
      <c r="H63" s="17">
        <v>1</v>
      </c>
      <c r="I63" s="17">
        <v>1</v>
      </c>
      <c r="J63" s="15" t="s">
        <v>11</v>
      </c>
    </row>
    <row r="64" spans="2:10" x14ac:dyDescent="0.35">
      <c r="B64" s="15" t="s">
        <v>88</v>
      </c>
      <c r="C64" s="15" t="s">
        <v>84</v>
      </c>
      <c r="D64" s="15" t="s">
        <v>30</v>
      </c>
      <c r="E64" s="17">
        <v>1</v>
      </c>
      <c r="F64" s="17">
        <v>1</v>
      </c>
      <c r="G64" s="17">
        <v>1</v>
      </c>
      <c r="H64" s="17">
        <v>1</v>
      </c>
      <c r="I64" s="17">
        <v>1</v>
      </c>
      <c r="J64" s="15" t="s">
        <v>11</v>
      </c>
    </row>
    <row r="65" spans="2:10" x14ac:dyDescent="0.35">
      <c r="B65" s="15" t="s">
        <v>89</v>
      </c>
      <c r="C65" s="15" t="s">
        <v>9</v>
      </c>
      <c r="D65" s="15" t="s">
        <v>54</v>
      </c>
      <c r="E65" s="17">
        <v>0.95</v>
      </c>
      <c r="F65" s="17">
        <v>1</v>
      </c>
      <c r="G65" s="17">
        <v>0.90909090909090906</v>
      </c>
      <c r="H65" s="17">
        <v>0.77777777777777779</v>
      </c>
      <c r="I65" s="17">
        <v>0.90921717171717165</v>
      </c>
      <c r="J65" s="15" t="s">
        <v>11</v>
      </c>
    </row>
    <row r="66" spans="2:10" x14ac:dyDescent="0.35">
      <c r="B66" s="15" t="s">
        <v>90</v>
      </c>
      <c r="C66" s="15" t="s">
        <v>9</v>
      </c>
      <c r="D66" s="15" t="s">
        <v>48</v>
      </c>
      <c r="E66" s="17">
        <v>0.87</v>
      </c>
      <c r="F66" s="17">
        <v>0.94</v>
      </c>
      <c r="G66" s="17">
        <v>1</v>
      </c>
      <c r="H66" s="17">
        <v>1</v>
      </c>
      <c r="I66" s="17">
        <v>0.95250000000000001</v>
      </c>
      <c r="J66" s="15" t="s">
        <v>11</v>
      </c>
    </row>
    <row r="67" spans="2:10" x14ac:dyDescent="0.35">
      <c r="B67" s="15" t="s">
        <v>91</v>
      </c>
      <c r="C67" s="15" t="s">
        <v>9</v>
      </c>
      <c r="D67" s="15" t="s">
        <v>18</v>
      </c>
      <c r="E67" s="17">
        <v>1</v>
      </c>
      <c r="F67" s="17">
        <v>1</v>
      </c>
      <c r="G67" s="17">
        <v>1</v>
      </c>
      <c r="H67" s="17">
        <v>1</v>
      </c>
      <c r="I67" s="17">
        <v>1</v>
      </c>
      <c r="J67" s="15" t="s">
        <v>11</v>
      </c>
    </row>
    <row r="68" spans="2:10" x14ac:dyDescent="0.35">
      <c r="B68" s="15" t="s">
        <v>92</v>
      </c>
      <c r="C68" s="15" t="s">
        <v>9</v>
      </c>
      <c r="D68" s="15" t="s">
        <v>93</v>
      </c>
      <c r="E68" s="17">
        <v>0.98888888888888893</v>
      </c>
      <c r="F68" s="17">
        <v>1</v>
      </c>
      <c r="G68" s="17">
        <v>1</v>
      </c>
      <c r="H68" s="17">
        <v>1</v>
      </c>
      <c r="I68" s="17">
        <v>0.99722222222222223</v>
      </c>
      <c r="J68" s="15" t="s">
        <v>11</v>
      </c>
    </row>
    <row r="69" spans="2:10" x14ac:dyDescent="0.35">
      <c r="B69" s="15" t="s">
        <v>94</v>
      </c>
      <c r="C69" s="15" t="s">
        <v>9</v>
      </c>
      <c r="D69" s="15" t="s">
        <v>95</v>
      </c>
      <c r="E69" s="17">
        <v>0.93333333333333335</v>
      </c>
      <c r="F69" s="17">
        <v>1</v>
      </c>
      <c r="G69" s="17">
        <v>1</v>
      </c>
      <c r="H69" s="17">
        <v>1</v>
      </c>
      <c r="I69" s="17">
        <v>0.98333333333333339</v>
      </c>
      <c r="J69" s="15" t="s">
        <v>11</v>
      </c>
    </row>
    <row r="70" spans="2:10" x14ac:dyDescent="0.35">
      <c r="B70" s="15" t="s">
        <v>96</v>
      </c>
      <c r="C70" s="15" t="s">
        <v>9</v>
      </c>
      <c r="D70" s="15" t="s">
        <v>16</v>
      </c>
      <c r="E70" s="17">
        <v>1</v>
      </c>
      <c r="F70" s="17">
        <v>1</v>
      </c>
      <c r="G70" s="17">
        <v>1</v>
      </c>
      <c r="H70" s="17">
        <v>1</v>
      </c>
      <c r="I70" s="17">
        <v>1</v>
      </c>
      <c r="J70" s="15" t="s">
        <v>11</v>
      </c>
    </row>
    <row r="71" spans="2:10" x14ac:dyDescent="0.35">
      <c r="B71" s="15" t="s">
        <v>97</v>
      </c>
      <c r="C71" s="15" t="s">
        <v>9</v>
      </c>
      <c r="D71" s="15" t="s">
        <v>26</v>
      </c>
      <c r="E71" s="17">
        <v>0.99824561403508771</v>
      </c>
      <c r="F71" s="17">
        <v>1</v>
      </c>
      <c r="G71" s="17">
        <v>0.99760765550239239</v>
      </c>
      <c r="H71" s="17">
        <v>1</v>
      </c>
      <c r="I71" s="17">
        <v>0.99896331738437005</v>
      </c>
      <c r="J71" s="15" t="s">
        <v>11</v>
      </c>
    </row>
    <row r="72" spans="2:10" x14ac:dyDescent="0.35">
      <c r="B72" s="15" t="s">
        <v>98</v>
      </c>
      <c r="C72" s="15" t="s">
        <v>9</v>
      </c>
      <c r="D72" s="15" t="s">
        <v>13</v>
      </c>
      <c r="E72" s="17">
        <v>1</v>
      </c>
      <c r="F72" s="17">
        <v>1</v>
      </c>
      <c r="G72" s="17">
        <v>1</v>
      </c>
      <c r="H72" s="17">
        <v>1</v>
      </c>
      <c r="I72" s="17">
        <v>1</v>
      </c>
      <c r="J72" s="15" t="s">
        <v>11</v>
      </c>
    </row>
    <row r="73" spans="2:10" x14ac:dyDescent="0.35">
      <c r="B73" s="15" t="s">
        <v>99</v>
      </c>
      <c r="C73" s="15" t="s">
        <v>9</v>
      </c>
      <c r="D73" s="15" t="s">
        <v>18</v>
      </c>
      <c r="E73" s="17">
        <v>1</v>
      </c>
      <c r="F73" s="17">
        <v>1</v>
      </c>
      <c r="G73" s="17">
        <v>1</v>
      </c>
      <c r="H73" s="17">
        <v>1</v>
      </c>
      <c r="I73" s="17">
        <v>1</v>
      </c>
      <c r="J73" s="15" t="s">
        <v>11</v>
      </c>
    </row>
    <row r="74" spans="2:10" x14ac:dyDescent="0.35">
      <c r="B74" s="15" t="s">
        <v>100</v>
      </c>
      <c r="C74" s="15" t="s">
        <v>9</v>
      </c>
      <c r="D74" s="15" t="s">
        <v>43</v>
      </c>
      <c r="E74" s="17">
        <v>1</v>
      </c>
      <c r="F74" s="17">
        <v>1</v>
      </c>
      <c r="G74" s="17">
        <v>1</v>
      </c>
      <c r="H74" s="17">
        <v>1</v>
      </c>
      <c r="I74" s="17">
        <v>1</v>
      </c>
      <c r="J74" s="15" t="s">
        <v>11</v>
      </c>
    </row>
    <row r="75" spans="2:10" x14ac:dyDescent="0.35">
      <c r="B75" s="15" t="s">
        <v>101</v>
      </c>
      <c r="C75" s="15" t="s">
        <v>9</v>
      </c>
      <c r="D75" s="15" t="s">
        <v>23</v>
      </c>
      <c r="E75" s="17">
        <v>0.94358974358974357</v>
      </c>
      <c r="F75" s="17">
        <v>1</v>
      </c>
      <c r="G75" s="17">
        <v>1</v>
      </c>
      <c r="H75" s="17">
        <v>0.78632478632478631</v>
      </c>
      <c r="I75" s="17">
        <v>0.9324786324786325</v>
      </c>
      <c r="J75" s="15" t="s">
        <v>11</v>
      </c>
    </row>
    <row r="76" spans="2:10" x14ac:dyDescent="0.35">
      <c r="B76" s="15" t="s">
        <v>102</v>
      </c>
      <c r="C76" s="15" t="s">
        <v>9</v>
      </c>
      <c r="D76" s="15" t="s">
        <v>54</v>
      </c>
      <c r="E76" s="17">
        <v>0.9555555555555556</v>
      </c>
      <c r="F76" s="17">
        <v>1</v>
      </c>
      <c r="G76" s="17">
        <v>1</v>
      </c>
      <c r="H76" s="17">
        <v>1</v>
      </c>
      <c r="I76" s="17">
        <v>0.98888888888888893</v>
      </c>
      <c r="J76" s="15" t="s">
        <v>11</v>
      </c>
    </row>
    <row r="77" spans="2:10" x14ac:dyDescent="0.35">
      <c r="B77" s="15" t="s">
        <v>103</v>
      </c>
      <c r="C77" s="15" t="s">
        <v>9</v>
      </c>
      <c r="D77" s="15" t="s">
        <v>26</v>
      </c>
      <c r="E77" s="17">
        <v>1</v>
      </c>
      <c r="F77" s="17">
        <v>1</v>
      </c>
      <c r="G77" s="17">
        <v>1</v>
      </c>
      <c r="H77" s="17">
        <v>1</v>
      </c>
      <c r="I77" s="17">
        <v>1</v>
      </c>
      <c r="J77" s="15" t="s">
        <v>11</v>
      </c>
    </row>
    <row r="78" spans="2:10" x14ac:dyDescent="0.35">
      <c r="B78" s="15" t="s">
        <v>104</v>
      </c>
      <c r="C78" s="15" t="s">
        <v>9</v>
      </c>
      <c r="D78" s="15" t="s">
        <v>48</v>
      </c>
      <c r="E78" s="17">
        <v>1</v>
      </c>
      <c r="F78" s="17">
        <v>1</v>
      </c>
      <c r="G78" s="17">
        <v>1</v>
      </c>
      <c r="H78" s="17">
        <v>1</v>
      </c>
      <c r="I78" s="17">
        <v>1</v>
      </c>
      <c r="J78" s="15" t="s">
        <v>11</v>
      </c>
    </row>
    <row r="79" spans="2:10" x14ac:dyDescent="0.35">
      <c r="B79" s="15" t="s">
        <v>105</v>
      </c>
      <c r="C79" s="15" t="s">
        <v>9</v>
      </c>
      <c r="D79" s="15" t="s">
        <v>26</v>
      </c>
      <c r="E79" s="17">
        <v>0.9458333333333333</v>
      </c>
      <c r="F79" s="17">
        <v>0.99375000000000002</v>
      </c>
      <c r="G79" s="17">
        <v>0.97159090909090906</v>
      </c>
      <c r="H79" s="17">
        <v>0.77777777777777779</v>
      </c>
      <c r="I79" s="17">
        <v>0.92223800505050502</v>
      </c>
      <c r="J79" s="15" t="s">
        <v>11</v>
      </c>
    </row>
    <row r="80" spans="2:10" x14ac:dyDescent="0.35">
      <c r="B80" s="15" t="s">
        <v>106</v>
      </c>
      <c r="C80" s="15" t="s">
        <v>9</v>
      </c>
      <c r="D80" s="15" t="s">
        <v>26</v>
      </c>
      <c r="E80" s="17">
        <v>0.96666666666666667</v>
      </c>
      <c r="F80" s="17">
        <v>1</v>
      </c>
      <c r="G80" s="17">
        <v>0.97520661157024791</v>
      </c>
      <c r="H80" s="17">
        <v>0.92929292929292928</v>
      </c>
      <c r="I80" s="17">
        <v>0.96779155188246091</v>
      </c>
      <c r="J80" s="15" t="s">
        <v>11</v>
      </c>
    </row>
    <row r="81" spans="2:10" x14ac:dyDescent="0.35">
      <c r="B81" s="15" t="s">
        <v>107</v>
      </c>
      <c r="C81" s="15" t="s">
        <v>9</v>
      </c>
      <c r="D81" s="15" t="s">
        <v>23</v>
      </c>
      <c r="E81" s="17">
        <v>0.99122807017543857</v>
      </c>
      <c r="F81" s="17">
        <v>1</v>
      </c>
      <c r="G81" s="17">
        <v>1</v>
      </c>
      <c r="H81" s="17">
        <v>0.66666666666666663</v>
      </c>
      <c r="I81" s="17">
        <v>0.91447368421052622</v>
      </c>
      <c r="J81" s="15" t="s">
        <v>11</v>
      </c>
    </row>
    <row r="82" spans="2:10" x14ac:dyDescent="0.35">
      <c r="B82" s="15" t="s">
        <v>108</v>
      </c>
      <c r="C82" s="15" t="s">
        <v>9</v>
      </c>
      <c r="D82" s="15" t="s">
        <v>23</v>
      </c>
      <c r="E82" s="17">
        <v>0.98120300751879697</v>
      </c>
      <c r="F82" s="17">
        <v>0.9642857142857143</v>
      </c>
      <c r="G82" s="17">
        <v>0.99350649350649356</v>
      </c>
      <c r="H82" s="17">
        <v>1</v>
      </c>
      <c r="I82" s="17">
        <v>0.98474880382775121</v>
      </c>
      <c r="J82" s="15" t="s">
        <v>11</v>
      </c>
    </row>
    <row r="83" spans="2:10" x14ac:dyDescent="0.35">
      <c r="B83" s="15" t="s">
        <v>109</v>
      </c>
      <c r="C83" s="15" t="s">
        <v>9</v>
      </c>
      <c r="D83" s="15" t="s">
        <v>23</v>
      </c>
      <c r="E83" s="17">
        <v>0.96666666666666667</v>
      </c>
      <c r="F83" s="17">
        <v>1</v>
      </c>
      <c r="G83" s="17">
        <v>1</v>
      </c>
      <c r="H83" s="17">
        <v>0.55555555555555558</v>
      </c>
      <c r="I83" s="17">
        <v>0.88055555555555554</v>
      </c>
      <c r="J83" s="15" t="s">
        <v>11</v>
      </c>
    </row>
    <row r="84" spans="2:10" x14ac:dyDescent="0.35">
      <c r="B84" s="15" t="s">
        <v>110</v>
      </c>
      <c r="C84" s="15" t="s">
        <v>9</v>
      </c>
      <c r="D84" s="15" t="s">
        <v>43</v>
      </c>
      <c r="E84" s="17">
        <v>0.96808510638297873</v>
      </c>
      <c r="F84" s="17">
        <v>1</v>
      </c>
      <c r="G84" s="17">
        <v>1</v>
      </c>
      <c r="H84" s="17">
        <v>0.94871794871794868</v>
      </c>
      <c r="I84" s="17">
        <v>0.9792007637752318</v>
      </c>
      <c r="J84" s="15" t="s">
        <v>11</v>
      </c>
    </row>
    <row r="85" spans="2:10" x14ac:dyDescent="0.35">
      <c r="B85" s="15" t="s">
        <v>111</v>
      </c>
      <c r="C85" s="15" t="s">
        <v>9</v>
      </c>
      <c r="D85" s="15" t="s">
        <v>95</v>
      </c>
      <c r="E85" s="17">
        <v>0.93333333333333335</v>
      </c>
      <c r="F85" s="17">
        <v>1</v>
      </c>
      <c r="G85" s="17">
        <v>1</v>
      </c>
      <c r="H85" s="17">
        <v>1</v>
      </c>
      <c r="I85" s="17">
        <v>0.98333333333333339</v>
      </c>
      <c r="J85" s="15" t="s">
        <v>11</v>
      </c>
    </row>
    <row r="86" spans="2:10" x14ac:dyDescent="0.35">
      <c r="B86" s="15" t="s">
        <v>112</v>
      </c>
      <c r="C86" s="15" t="s">
        <v>9</v>
      </c>
      <c r="D86" s="15" t="s">
        <v>18</v>
      </c>
      <c r="E86" s="17">
        <v>0.93628808864265933</v>
      </c>
      <c r="F86" s="17">
        <v>0.99736842105263157</v>
      </c>
      <c r="G86" s="17">
        <v>0.98086124401913877</v>
      </c>
      <c r="H86" s="17">
        <v>0.76023391812865493</v>
      </c>
      <c r="I86" s="17">
        <v>0.91868791796077109</v>
      </c>
      <c r="J86" s="15" t="s">
        <v>11</v>
      </c>
    </row>
    <row r="87" spans="2:10" x14ac:dyDescent="0.35">
      <c r="B87" s="15" t="s">
        <v>113</v>
      </c>
      <c r="C87" s="15" t="s">
        <v>9</v>
      </c>
      <c r="D87" s="15" t="s">
        <v>114</v>
      </c>
      <c r="E87" s="17">
        <v>0.82777777777777772</v>
      </c>
      <c r="F87" s="17">
        <v>0.95</v>
      </c>
      <c r="G87" s="17">
        <v>0.88636363636363635</v>
      </c>
      <c r="H87" s="17">
        <v>1</v>
      </c>
      <c r="I87" s="17">
        <v>0.91603535353535348</v>
      </c>
      <c r="J87" s="15" t="s">
        <v>11</v>
      </c>
    </row>
    <row r="88" spans="2:10" x14ac:dyDescent="0.35">
      <c r="B88" s="15" t="s">
        <v>115</v>
      </c>
      <c r="C88" s="15" t="s">
        <v>9</v>
      </c>
      <c r="D88" s="15" t="s">
        <v>26</v>
      </c>
      <c r="E88" s="17">
        <v>1</v>
      </c>
      <c r="F88" s="17">
        <v>1</v>
      </c>
      <c r="G88" s="17">
        <v>1</v>
      </c>
      <c r="H88" s="17">
        <v>1</v>
      </c>
      <c r="I88" s="17">
        <v>1</v>
      </c>
      <c r="J88" s="15" t="s">
        <v>11</v>
      </c>
    </row>
    <row r="89" spans="2:10" x14ac:dyDescent="0.35">
      <c r="B89" s="15" t="s">
        <v>116</v>
      </c>
      <c r="C89" s="15" t="s">
        <v>9</v>
      </c>
      <c r="D89" s="15" t="s">
        <v>43</v>
      </c>
      <c r="E89" s="17">
        <v>0.93181818181818177</v>
      </c>
      <c r="F89" s="17">
        <v>0.9916666666666667</v>
      </c>
      <c r="G89" s="17">
        <v>1</v>
      </c>
      <c r="H89" s="17">
        <v>0.96296296296296291</v>
      </c>
      <c r="I89" s="17">
        <v>0.97161195286195279</v>
      </c>
      <c r="J89" s="15" t="s">
        <v>11</v>
      </c>
    </row>
    <row r="90" spans="2:10" x14ac:dyDescent="0.35">
      <c r="B90" s="15" t="s">
        <v>117</v>
      </c>
      <c r="C90" s="15" t="s">
        <v>9</v>
      </c>
      <c r="D90" s="15" t="s">
        <v>23</v>
      </c>
      <c r="E90" s="17">
        <v>0.91212121212121211</v>
      </c>
      <c r="F90" s="17">
        <v>1</v>
      </c>
      <c r="G90" s="17">
        <v>0.98760330578512401</v>
      </c>
      <c r="H90" s="17">
        <v>0.68686868686868685</v>
      </c>
      <c r="I90" s="17">
        <v>0.89664830119375571</v>
      </c>
      <c r="J90" s="15" t="s">
        <v>11</v>
      </c>
    </row>
    <row r="91" spans="2:10" x14ac:dyDescent="0.35">
      <c r="B91" s="15" t="s">
        <v>118</v>
      </c>
      <c r="C91" s="15" t="s">
        <v>9</v>
      </c>
      <c r="D91" s="15" t="s">
        <v>119</v>
      </c>
      <c r="E91" s="17">
        <v>0.96666666666666667</v>
      </c>
      <c r="F91" s="17">
        <v>1</v>
      </c>
      <c r="G91" s="17">
        <v>1</v>
      </c>
      <c r="H91" s="17">
        <v>0.77777777777777779</v>
      </c>
      <c r="I91" s="17">
        <v>0.93611111111111112</v>
      </c>
      <c r="J91" s="15" t="s">
        <v>11</v>
      </c>
    </row>
    <row r="92" spans="2:10" x14ac:dyDescent="0.35">
      <c r="B92" s="15" t="s">
        <v>120</v>
      </c>
      <c r="C92" s="15" t="s">
        <v>9</v>
      </c>
      <c r="D92" s="15" t="s">
        <v>114</v>
      </c>
      <c r="E92" s="17">
        <v>0.81904761904761902</v>
      </c>
      <c r="F92" s="17">
        <v>0.7857142857142857</v>
      </c>
      <c r="G92" s="17">
        <v>0.7857142857142857</v>
      </c>
      <c r="H92" s="17">
        <v>0.98412698412698407</v>
      </c>
      <c r="I92" s="17">
        <v>0.84365079365079365</v>
      </c>
      <c r="J92" s="15" t="s">
        <v>11</v>
      </c>
    </row>
    <row r="93" spans="2:10" x14ac:dyDescent="0.35">
      <c r="B93" s="15" t="s">
        <v>121</v>
      </c>
      <c r="C93" s="15" t="s">
        <v>9</v>
      </c>
      <c r="D93" s="15" t="s">
        <v>114</v>
      </c>
      <c r="E93" s="17">
        <v>0.93333333333333335</v>
      </c>
      <c r="F93" s="17">
        <v>1</v>
      </c>
      <c r="G93" s="17">
        <v>0.88636363636363635</v>
      </c>
      <c r="H93" s="17">
        <v>0.97777777777777775</v>
      </c>
      <c r="I93" s="17">
        <v>0.94936868686868692</v>
      </c>
      <c r="J93" s="15" t="s">
        <v>11</v>
      </c>
    </row>
    <row r="94" spans="2:10" x14ac:dyDescent="0.35">
      <c r="B94" s="15" t="s">
        <v>122</v>
      </c>
      <c r="C94" s="15" t="s">
        <v>9</v>
      </c>
      <c r="D94" s="15" t="s">
        <v>114</v>
      </c>
      <c r="E94" s="17">
        <v>0.82</v>
      </c>
      <c r="F94" s="17">
        <v>0.87</v>
      </c>
      <c r="G94" s="17">
        <v>0.87727272727272732</v>
      </c>
      <c r="H94" s="17">
        <v>0.93333333333333335</v>
      </c>
      <c r="I94" s="17">
        <v>0.87515151515151524</v>
      </c>
      <c r="J94" s="15" t="s">
        <v>11</v>
      </c>
    </row>
    <row r="95" spans="2:10" x14ac:dyDescent="0.35">
      <c r="B95" s="15" t="s">
        <v>123</v>
      </c>
      <c r="C95" s="15" t="s">
        <v>9</v>
      </c>
      <c r="D95" s="15" t="s">
        <v>23</v>
      </c>
      <c r="E95" s="17">
        <v>1</v>
      </c>
      <c r="F95" s="17">
        <v>1</v>
      </c>
      <c r="G95" s="17">
        <v>1</v>
      </c>
      <c r="H95" s="17">
        <v>1</v>
      </c>
      <c r="I95" s="17">
        <v>1</v>
      </c>
      <c r="J95" s="15" t="s">
        <v>11</v>
      </c>
    </row>
    <row r="96" spans="2:10" x14ac:dyDescent="0.35">
      <c r="B96" s="15" t="s">
        <v>124</v>
      </c>
      <c r="C96" s="15" t="s">
        <v>9</v>
      </c>
      <c r="D96" s="15" t="s">
        <v>119</v>
      </c>
      <c r="E96" s="17">
        <v>0.99583333333333335</v>
      </c>
      <c r="F96" s="17">
        <v>1</v>
      </c>
      <c r="G96" s="17">
        <v>1</v>
      </c>
      <c r="H96" s="17">
        <v>1</v>
      </c>
      <c r="I96" s="17">
        <v>0.99895833333333339</v>
      </c>
      <c r="J96" s="15" t="s">
        <v>11</v>
      </c>
    </row>
    <row r="97" spans="2:10" x14ac:dyDescent="0.35">
      <c r="B97" s="15" t="s">
        <v>125</v>
      </c>
      <c r="C97" s="15" t="s">
        <v>9</v>
      </c>
      <c r="D97" s="15" t="s">
        <v>43</v>
      </c>
      <c r="E97" s="17">
        <v>1</v>
      </c>
      <c r="F97" s="17">
        <v>0.995</v>
      </c>
      <c r="G97" s="17">
        <v>0.95909090909090911</v>
      </c>
      <c r="H97" s="17">
        <v>0.92222222222222228</v>
      </c>
      <c r="I97" s="17">
        <v>0.9690782828282829</v>
      </c>
      <c r="J97" s="15" t="s">
        <v>11</v>
      </c>
    </row>
    <row r="98" spans="2:10" x14ac:dyDescent="0.35">
      <c r="B98" s="15" t="s">
        <v>126</v>
      </c>
      <c r="C98" s="15" t="s">
        <v>9</v>
      </c>
      <c r="D98" s="15" t="s">
        <v>54</v>
      </c>
      <c r="E98" s="17">
        <v>0.9454976303317536</v>
      </c>
      <c r="F98" s="17">
        <v>0.98928571428571432</v>
      </c>
      <c r="G98" s="17">
        <v>0.96753246753246758</v>
      </c>
      <c r="H98" s="17">
        <v>1</v>
      </c>
      <c r="I98" s="17">
        <v>0.97557895303748388</v>
      </c>
      <c r="J98" s="15" t="s">
        <v>11</v>
      </c>
    </row>
    <row r="99" spans="2:10" x14ac:dyDescent="0.35">
      <c r="B99" s="15" t="s">
        <v>127</v>
      </c>
      <c r="C99" s="15" t="s">
        <v>9</v>
      </c>
      <c r="D99" s="15" t="s">
        <v>26</v>
      </c>
      <c r="E99" s="17">
        <v>1</v>
      </c>
      <c r="F99" s="17">
        <v>1</v>
      </c>
      <c r="G99" s="17">
        <v>1</v>
      </c>
      <c r="H99" s="17">
        <v>1</v>
      </c>
      <c r="I99" s="17">
        <v>1</v>
      </c>
      <c r="J99" s="15" t="s">
        <v>11</v>
      </c>
    </row>
    <row r="100" spans="2:10" x14ac:dyDescent="0.35">
      <c r="B100" s="15" t="s">
        <v>128</v>
      </c>
      <c r="C100" s="15" t="s">
        <v>9</v>
      </c>
      <c r="D100" s="15" t="s">
        <v>30</v>
      </c>
      <c r="E100" s="17">
        <v>0.98076923076923073</v>
      </c>
      <c r="F100" s="17">
        <v>1</v>
      </c>
      <c r="G100" s="17">
        <v>1</v>
      </c>
      <c r="H100" s="17">
        <v>0.97222222222222221</v>
      </c>
      <c r="I100" s="17">
        <v>0.98824786324786329</v>
      </c>
      <c r="J100" s="15" t="s">
        <v>11</v>
      </c>
    </row>
    <row r="101" spans="2:10" x14ac:dyDescent="0.35">
      <c r="B101" s="15" t="s">
        <v>129</v>
      </c>
      <c r="C101" s="15" t="s">
        <v>130</v>
      </c>
      <c r="D101" s="15" t="s">
        <v>30</v>
      </c>
      <c r="E101" s="17">
        <v>1</v>
      </c>
      <c r="F101" s="17">
        <v>1</v>
      </c>
      <c r="G101" s="17">
        <v>1</v>
      </c>
      <c r="H101" s="17">
        <v>1</v>
      </c>
      <c r="I101" s="17">
        <v>1</v>
      </c>
      <c r="J101" s="15" t="s">
        <v>11</v>
      </c>
    </row>
    <row r="102" spans="2:10" x14ac:dyDescent="0.35">
      <c r="B102" s="15" t="s">
        <v>131</v>
      </c>
      <c r="C102" s="15" t="s">
        <v>9</v>
      </c>
      <c r="D102" s="15" t="s">
        <v>54</v>
      </c>
      <c r="E102" s="17">
        <v>0.76111111111111107</v>
      </c>
      <c r="F102" s="17">
        <v>0.8666666666666667</v>
      </c>
      <c r="G102" s="17">
        <v>0.75</v>
      </c>
      <c r="H102" s="17">
        <v>0.62962962962962965</v>
      </c>
      <c r="I102" s="17">
        <v>0.75185185185185188</v>
      </c>
      <c r="J102" s="15" t="s">
        <v>11</v>
      </c>
    </row>
    <row r="103" spans="2:10" x14ac:dyDescent="0.35">
      <c r="B103" s="15" t="s">
        <v>132</v>
      </c>
      <c r="C103" s="15" t="s">
        <v>9</v>
      </c>
      <c r="D103" s="15" t="s">
        <v>54</v>
      </c>
      <c r="E103" s="17">
        <v>0.96333333333333337</v>
      </c>
      <c r="F103" s="17">
        <v>1</v>
      </c>
      <c r="G103" s="17">
        <v>0.98181818181818181</v>
      </c>
      <c r="H103" s="17">
        <v>1</v>
      </c>
      <c r="I103" s="17">
        <v>0.98628787878787882</v>
      </c>
      <c r="J103" s="15" t="s">
        <v>11</v>
      </c>
    </row>
    <row r="104" spans="2:10" x14ac:dyDescent="0.35">
      <c r="B104" s="15" t="s">
        <v>133</v>
      </c>
      <c r="C104" s="15" t="s">
        <v>9</v>
      </c>
      <c r="D104" s="15" t="s">
        <v>43</v>
      </c>
      <c r="E104" s="17">
        <v>0.98095238095238091</v>
      </c>
      <c r="F104" s="17">
        <v>1</v>
      </c>
      <c r="G104" s="17">
        <v>1</v>
      </c>
      <c r="H104" s="17">
        <v>0.96825396825396826</v>
      </c>
      <c r="I104" s="17">
        <v>0.98730158730158735</v>
      </c>
      <c r="J104" s="15" t="s">
        <v>11</v>
      </c>
    </row>
    <row r="105" spans="2:10" x14ac:dyDescent="0.35">
      <c r="B105" s="15" t="s">
        <v>134</v>
      </c>
      <c r="C105" s="15" t="s">
        <v>9</v>
      </c>
      <c r="D105" s="15" t="s">
        <v>10</v>
      </c>
      <c r="E105" s="17">
        <v>0.97333333333333338</v>
      </c>
      <c r="F105" s="17">
        <v>1</v>
      </c>
      <c r="G105" s="17">
        <v>1</v>
      </c>
      <c r="H105" s="17">
        <v>1</v>
      </c>
      <c r="I105" s="17">
        <v>0.9933333333333334</v>
      </c>
      <c r="J105" s="15" t="s">
        <v>11</v>
      </c>
    </row>
    <row r="106" spans="2:10" x14ac:dyDescent="0.35">
      <c r="B106" s="15" t="s">
        <v>135</v>
      </c>
      <c r="C106" s="15" t="s">
        <v>9</v>
      </c>
      <c r="D106" s="15" t="s">
        <v>43</v>
      </c>
      <c r="E106" s="17">
        <v>0.95185185185185184</v>
      </c>
      <c r="F106" s="17">
        <v>0.9555555555555556</v>
      </c>
      <c r="G106" s="17">
        <v>0.93434343434343436</v>
      </c>
      <c r="H106" s="17">
        <v>0.77777777777777779</v>
      </c>
      <c r="I106" s="17">
        <v>0.90488215488215484</v>
      </c>
      <c r="J106" s="15" t="s">
        <v>11</v>
      </c>
    </row>
    <row r="107" spans="2:10" x14ac:dyDescent="0.35">
      <c r="B107" s="15" t="s">
        <v>136</v>
      </c>
      <c r="C107" s="15" t="s">
        <v>9</v>
      </c>
      <c r="D107" s="15" t="s">
        <v>119</v>
      </c>
      <c r="E107" s="17">
        <v>1</v>
      </c>
      <c r="F107" s="17">
        <v>1</v>
      </c>
      <c r="G107" s="17">
        <v>1</v>
      </c>
      <c r="H107" s="17">
        <v>1</v>
      </c>
      <c r="I107" s="17">
        <v>1</v>
      </c>
      <c r="J107" s="15" t="s">
        <v>11</v>
      </c>
    </row>
    <row r="108" spans="2:10" x14ac:dyDescent="0.35">
      <c r="B108" s="15" t="s">
        <v>137</v>
      </c>
      <c r="C108" s="15" t="s">
        <v>9</v>
      </c>
      <c r="D108" s="15" t="s">
        <v>95</v>
      </c>
      <c r="E108" s="17">
        <v>1</v>
      </c>
      <c r="F108" s="17">
        <v>1</v>
      </c>
      <c r="G108" s="17">
        <v>1</v>
      </c>
      <c r="H108" s="17">
        <v>1</v>
      </c>
      <c r="I108" s="17">
        <v>1</v>
      </c>
      <c r="J108" s="15" t="s">
        <v>11</v>
      </c>
    </row>
    <row r="109" spans="2:10" x14ac:dyDescent="0.35">
      <c r="B109" s="15" t="s">
        <v>138</v>
      </c>
      <c r="C109" s="15" t="s">
        <v>9</v>
      </c>
      <c r="D109" s="15" t="s">
        <v>13</v>
      </c>
      <c r="E109" s="17">
        <v>1</v>
      </c>
      <c r="F109" s="17">
        <v>1</v>
      </c>
      <c r="G109" s="17">
        <v>1</v>
      </c>
      <c r="H109" s="17">
        <v>1</v>
      </c>
      <c r="I109" s="17">
        <v>1</v>
      </c>
      <c r="J109" s="15" t="s">
        <v>11</v>
      </c>
    </row>
    <row r="110" spans="2:10" x14ac:dyDescent="0.35">
      <c r="B110" s="15" t="s">
        <v>139</v>
      </c>
      <c r="C110" s="15" t="s">
        <v>9</v>
      </c>
      <c r="D110" s="15" t="s">
        <v>10</v>
      </c>
      <c r="E110" s="17">
        <v>1</v>
      </c>
      <c r="F110" s="17">
        <v>1</v>
      </c>
      <c r="G110" s="17">
        <v>1</v>
      </c>
      <c r="H110" s="17">
        <v>1</v>
      </c>
      <c r="I110" s="17">
        <v>1</v>
      </c>
      <c r="J110" s="15" t="s">
        <v>11</v>
      </c>
    </row>
    <row r="111" spans="2:10" x14ac:dyDescent="0.35">
      <c r="B111" s="15" t="s">
        <v>140</v>
      </c>
      <c r="C111" s="15" t="s">
        <v>9</v>
      </c>
      <c r="D111" s="15" t="s">
        <v>10</v>
      </c>
      <c r="E111" s="17">
        <v>0.96666666666666667</v>
      </c>
      <c r="F111" s="17">
        <v>1</v>
      </c>
      <c r="G111" s="17">
        <v>0.95454545454545459</v>
      </c>
      <c r="H111" s="17">
        <v>1</v>
      </c>
      <c r="I111" s="17">
        <v>0.98030303030303034</v>
      </c>
      <c r="J111" s="15" t="s">
        <v>11</v>
      </c>
    </row>
    <row r="112" spans="2:10" x14ac:dyDescent="0.35">
      <c r="B112" s="15" t="s">
        <v>141</v>
      </c>
      <c r="C112" s="15" t="s">
        <v>9</v>
      </c>
      <c r="D112" s="15" t="s">
        <v>114</v>
      </c>
      <c r="E112" s="17">
        <v>0.81666666666666665</v>
      </c>
      <c r="F112" s="17">
        <v>0.97499999999999998</v>
      </c>
      <c r="G112" s="17">
        <v>0.86363636363636365</v>
      </c>
      <c r="H112" s="17">
        <v>0.5</v>
      </c>
      <c r="I112" s="17">
        <v>0.78882575757575757</v>
      </c>
      <c r="J112" s="15" t="s">
        <v>11</v>
      </c>
    </row>
    <row r="113" spans="2:10" x14ac:dyDescent="0.35">
      <c r="B113" s="15" t="s">
        <v>142</v>
      </c>
      <c r="C113" s="15" t="s">
        <v>9</v>
      </c>
      <c r="D113" s="15" t="s">
        <v>16</v>
      </c>
      <c r="E113" s="17">
        <v>1</v>
      </c>
      <c r="F113" s="17">
        <v>1</v>
      </c>
      <c r="G113" s="17">
        <v>1</v>
      </c>
      <c r="H113" s="17">
        <v>1</v>
      </c>
      <c r="I113" s="17">
        <v>1</v>
      </c>
      <c r="J113" s="15" t="s">
        <v>11</v>
      </c>
    </row>
    <row r="114" spans="2:10" x14ac:dyDescent="0.35">
      <c r="B114" s="15" t="s">
        <v>143</v>
      </c>
      <c r="C114" s="15" t="s">
        <v>9</v>
      </c>
      <c r="D114" s="15" t="s">
        <v>13</v>
      </c>
      <c r="E114" s="17">
        <v>1</v>
      </c>
      <c r="F114" s="17">
        <v>1</v>
      </c>
      <c r="G114" s="17">
        <v>1</v>
      </c>
      <c r="H114" s="17">
        <v>1</v>
      </c>
      <c r="I114" s="17">
        <v>1</v>
      </c>
      <c r="J114" s="15" t="s">
        <v>11</v>
      </c>
    </row>
    <row r="115" spans="2:10" x14ac:dyDescent="0.35">
      <c r="B115" s="15" t="s">
        <v>144</v>
      </c>
      <c r="C115" s="15" t="s">
        <v>9</v>
      </c>
      <c r="D115" s="15" t="s">
        <v>114</v>
      </c>
      <c r="E115" s="17">
        <v>0.53888888888888886</v>
      </c>
      <c r="F115" s="17">
        <v>0.85</v>
      </c>
      <c r="G115" s="17">
        <v>0.75</v>
      </c>
      <c r="H115" s="17">
        <v>0.92592592592592593</v>
      </c>
      <c r="I115" s="17">
        <v>0.76620370370370372</v>
      </c>
      <c r="J115" s="15" t="s">
        <v>11</v>
      </c>
    </row>
    <row r="116" spans="2:10" x14ac:dyDescent="0.35">
      <c r="B116" s="15" t="s">
        <v>145</v>
      </c>
      <c r="C116" s="15" t="s">
        <v>9</v>
      </c>
      <c r="D116" s="15" t="s">
        <v>23</v>
      </c>
      <c r="E116" s="17">
        <v>1</v>
      </c>
      <c r="F116" s="17">
        <v>1</v>
      </c>
      <c r="G116" s="17">
        <v>1</v>
      </c>
      <c r="H116" s="17">
        <v>1</v>
      </c>
      <c r="I116" s="17">
        <v>1</v>
      </c>
      <c r="J116" s="15" t="s">
        <v>11</v>
      </c>
    </row>
    <row r="117" spans="2:10" x14ac:dyDescent="0.35">
      <c r="B117" s="15" t="s">
        <v>146</v>
      </c>
      <c r="C117" s="15" t="s">
        <v>9</v>
      </c>
      <c r="D117" s="15" t="s">
        <v>23</v>
      </c>
      <c r="E117" s="17">
        <v>1</v>
      </c>
      <c r="F117" s="17">
        <v>1</v>
      </c>
      <c r="G117" s="17">
        <v>1</v>
      </c>
      <c r="H117" s="17">
        <v>1</v>
      </c>
      <c r="I117" s="17">
        <v>1</v>
      </c>
      <c r="J117" s="15" t="s">
        <v>11</v>
      </c>
    </row>
    <row r="118" spans="2:10" x14ac:dyDescent="0.35">
      <c r="B118" s="15" t="s">
        <v>147</v>
      </c>
      <c r="C118" s="15" t="s">
        <v>9</v>
      </c>
      <c r="D118" s="15" t="s">
        <v>26</v>
      </c>
      <c r="E118" s="17">
        <v>1</v>
      </c>
      <c r="F118" s="17">
        <v>1</v>
      </c>
      <c r="G118" s="17">
        <v>1</v>
      </c>
      <c r="H118" s="17">
        <v>0.77777777777777779</v>
      </c>
      <c r="I118" s="17">
        <v>0.94444444444444442</v>
      </c>
      <c r="J118" s="15" t="s">
        <v>11</v>
      </c>
    </row>
    <row r="119" spans="2:10" x14ac:dyDescent="0.35">
      <c r="B119" s="15" t="s">
        <v>148</v>
      </c>
      <c r="C119" s="15" t="s">
        <v>9</v>
      </c>
      <c r="D119" s="15" t="s">
        <v>26</v>
      </c>
      <c r="E119" s="17">
        <v>0.98148148148148151</v>
      </c>
      <c r="F119" s="17">
        <v>1</v>
      </c>
      <c r="G119" s="17">
        <v>1</v>
      </c>
      <c r="H119" s="17">
        <v>0.77777777777777779</v>
      </c>
      <c r="I119" s="17">
        <v>0.93981481481481477</v>
      </c>
      <c r="J119" s="15" t="s">
        <v>11</v>
      </c>
    </row>
    <row r="120" spans="2:10" x14ac:dyDescent="0.35">
      <c r="B120" s="15" t="s">
        <v>149</v>
      </c>
      <c r="C120" s="15" t="s">
        <v>9</v>
      </c>
      <c r="D120" s="15" t="s">
        <v>119</v>
      </c>
      <c r="E120" s="17">
        <v>0.94166666666666665</v>
      </c>
      <c r="F120" s="17">
        <v>1</v>
      </c>
      <c r="G120" s="17">
        <v>1</v>
      </c>
      <c r="H120" s="17">
        <v>0.55555555555555558</v>
      </c>
      <c r="I120" s="17">
        <v>0.87430555555555545</v>
      </c>
      <c r="J120" s="15" t="s">
        <v>11</v>
      </c>
    </row>
    <row r="121" spans="2:10" x14ac:dyDescent="0.35">
      <c r="B121" s="15" t="s">
        <v>150</v>
      </c>
      <c r="C121" s="15" t="s">
        <v>9</v>
      </c>
      <c r="D121" s="15" t="s">
        <v>54</v>
      </c>
      <c r="E121" s="17">
        <v>0.94912280701754381</v>
      </c>
      <c r="F121" s="17">
        <v>1</v>
      </c>
      <c r="G121" s="17">
        <v>0.99521531100478466</v>
      </c>
      <c r="H121" s="17">
        <v>1</v>
      </c>
      <c r="I121" s="17">
        <v>0.98608452950558212</v>
      </c>
      <c r="J121" s="15" t="s">
        <v>11</v>
      </c>
    </row>
    <row r="122" spans="2:10" x14ac:dyDescent="0.35">
      <c r="B122" s="15" t="s">
        <v>151</v>
      </c>
      <c r="C122" s="15" t="s">
        <v>9</v>
      </c>
      <c r="D122" s="15" t="s">
        <v>23</v>
      </c>
      <c r="E122" s="17">
        <v>0.94736842105263153</v>
      </c>
      <c r="F122" s="17">
        <v>0.98499999999999999</v>
      </c>
      <c r="G122" s="17">
        <v>0.99090909090909096</v>
      </c>
      <c r="H122" s="17">
        <v>0.87777777777777777</v>
      </c>
      <c r="I122" s="17">
        <v>0.95026382243487506</v>
      </c>
      <c r="J122" s="15" t="s">
        <v>11</v>
      </c>
    </row>
    <row r="123" spans="2:10" x14ac:dyDescent="0.35">
      <c r="B123" s="15" t="s">
        <v>152</v>
      </c>
      <c r="C123" s="15" t="s">
        <v>9</v>
      </c>
      <c r="D123" s="15" t="s">
        <v>43</v>
      </c>
      <c r="E123" s="17">
        <v>0.97857142857142854</v>
      </c>
      <c r="F123" s="17">
        <v>1</v>
      </c>
      <c r="G123" s="17">
        <v>1</v>
      </c>
      <c r="H123" s="17">
        <v>1</v>
      </c>
      <c r="I123" s="17">
        <v>0.99464285714285716</v>
      </c>
      <c r="J123" s="15" t="s">
        <v>11</v>
      </c>
    </row>
    <row r="124" spans="2:10" x14ac:dyDescent="0.35">
      <c r="B124" s="15" t="s">
        <v>153</v>
      </c>
      <c r="C124" s="15" t="s">
        <v>9</v>
      </c>
      <c r="D124" s="15" t="s">
        <v>13</v>
      </c>
      <c r="E124" s="17">
        <v>1</v>
      </c>
      <c r="F124" s="17">
        <v>1</v>
      </c>
      <c r="G124" s="17">
        <v>1</v>
      </c>
      <c r="H124" s="17">
        <v>1</v>
      </c>
      <c r="I124" s="17">
        <v>1</v>
      </c>
      <c r="J124" s="15" t="s">
        <v>11</v>
      </c>
    </row>
    <row r="125" spans="2:10" x14ac:dyDescent="0.35">
      <c r="B125" s="15" t="s">
        <v>154</v>
      </c>
      <c r="C125" s="15" t="s">
        <v>155</v>
      </c>
      <c r="D125" s="15" t="s">
        <v>30</v>
      </c>
      <c r="E125" s="17">
        <v>0.92307692307692313</v>
      </c>
      <c r="F125" s="17">
        <v>0.9</v>
      </c>
      <c r="G125" s="17">
        <v>0.54545454545454541</v>
      </c>
      <c r="H125" s="17">
        <v>1</v>
      </c>
      <c r="I125" s="17">
        <v>0.84213286713286717</v>
      </c>
      <c r="J125" s="15" t="s">
        <v>11</v>
      </c>
    </row>
    <row r="126" spans="2:10" x14ac:dyDescent="0.35">
      <c r="B126" s="15" t="s">
        <v>156</v>
      </c>
      <c r="C126" s="15" t="s">
        <v>155</v>
      </c>
      <c r="D126" s="15" t="s">
        <v>30</v>
      </c>
      <c r="E126" s="17">
        <v>0.92307692307692313</v>
      </c>
      <c r="F126" s="17">
        <v>0.9</v>
      </c>
      <c r="G126" s="17">
        <v>0.54545454545454541</v>
      </c>
      <c r="H126" s="17">
        <v>1</v>
      </c>
      <c r="I126" s="17">
        <v>0.84213286713286717</v>
      </c>
      <c r="J126" s="15" t="s">
        <v>11</v>
      </c>
    </row>
    <row r="127" spans="2:10" x14ac:dyDescent="0.35">
      <c r="B127" s="15" t="s">
        <v>157</v>
      </c>
      <c r="C127" s="15" t="s">
        <v>155</v>
      </c>
      <c r="D127" s="15" t="s">
        <v>30</v>
      </c>
      <c r="E127" s="17">
        <v>0.92601726263871764</v>
      </c>
      <c r="F127" s="17">
        <v>0.90500000000000003</v>
      </c>
      <c r="G127" s="17">
        <v>0.55454545454545456</v>
      </c>
      <c r="H127" s="17">
        <v>0.99470899470899465</v>
      </c>
      <c r="I127" s="17">
        <v>0.84506792797329178</v>
      </c>
      <c r="J127" s="15" t="s">
        <v>11</v>
      </c>
    </row>
    <row r="128" spans="2:10" x14ac:dyDescent="0.35">
      <c r="B128" s="15" t="s">
        <v>158</v>
      </c>
      <c r="C128" s="15" t="s">
        <v>155</v>
      </c>
      <c r="D128" s="15" t="s">
        <v>30</v>
      </c>
      <c r="E128" s="17">
        <v>0.8571428571428571</v>
      </c>
      <c r="F128" s="17">
        <v>0.859375</v>
      </c>
      <c r="G128" s="17">
        <v>0.53977272727272729</v>
      </c>
      <c r="H128" s="17">
        <v>0.94117647058823528</v>
      </c>
      <c r="I128" s="17">
        <v>0.79936676375095495</v>
      </c>
      <c r="J128" s="15" t="s">
        <v>11</v>
      </c>
    </row>
    <row r="129" spans="2:10" x14ac:dyDescent="0.35">
      <c r="B129" s="15" t="s">
        <v>159</v>
      </c>
      <c r="C129" s="15" t="s">
        <v>9</v>
      </c>
      <c r="D129" s="15" t="s">
        <v>26</v>
      </c>
      <c r="E129" s="17">
        <v>0.6</v>
      </c>
      <c r="F129" s="17">
        <v>0.32500000000000001</v>
      </c>
      <c r="G129" s="17">
        <v>0.52272727272727271</v>
      </c>
      <c r="H129" s="17">
        <v>0.69444444444444442</v>
      </c>
      <c r="I129" s="17">
        <v>0.53554292929292924</v>
      </c>
      <c r="J129" s="15" t="s">
        <v>11</v>
      </c>
    </row>
    <row r="130" spans="2:10" x14ac:dyDescent="0.35">
      <c r="B130" s="15" t="s">
        <v>160</v>
      </c>
      <c r="C130" s="15" t="s">
        <v>9</v>
      </c>
      <c r="D130" s="15" t="s">
        <v>26</v>
      </c>
      <c r="E130" s="17">
        <v>0.87435897435897436</v>
      </c>
      <c r="F130" s="17">
        <v>1</v>
      </c>
      <c r="G130" s="17">
        <v>1</v>
      </c>
      <c r="H130" s="17">
        <v>1</v>
      </c>
      <c r="I130" s="17">
        <v>0.96858974358974359</v>
      </c>
      <c r="J130" s="15" t="s">
        <v>11</v>
      </c>
    </row>
    <row r="131" spans="2:10" x14ac:dyDescent="0.35">
      <c r="B131" s="15" t="s">
        <v>161</v>
      </c>
      <c r="C131" s="15" t="s">
        <v>9</v>
      </c>
      <c r="D131" s="15" t="s">
        <v>18</v>
      </c>
      <c r="E131" s="17">
        <v>1</v>
      </c>
      <c r="F131" s="17">
        <v>1</v>
      </c>
      <c r="G131" s="17">
        <v>1</v>
      </c>
      <c r="H131" s="17">
        <v>1</v>
      </c>
      <c r="I131" s="17">
        <v>1</v>
      </c>
      <c r="J131" s="15" t="s">
        <v>11</v>
      </c>
    </row>
    <row r="132" spans="2:10" x14ac:dyDescent="0.35">
      <c r="B132" s="15" t="s">
        <v>162</v>
      </c>
      <c r="C132" s="15" t="s">
        <v>9</v>
      </c>
      <c r="D132" s="15" t="s">
        <v>13</v>
      </c>
      <c r="E132" s="17">
        <v>1</v>
      </c>
      <c r="F132" s="17">
        <v>1</v>
      </c>
      <c r="G132" s="17">
        <v>1</v>
      </c>
      <c r="H132" s="17">
        <v>1</v>
      </c>
      <c r="I132" s="17">
        <v>1</v>
      </c>
      <c r="J132" s="15" t="s">
        <v>11</v>
      </c>
    </row>
    <row r="133" spans="2:10" x14ac:dyDescent="0.35">
      <c r="B133" s="15" t="s">
        <v>163</v>
      </c>
      <c r="C133" s="15" t="s">
        <v>9</v>
      </c>
      <c r="D133" s="15" t="s">
        <v>16</v>
      </c>
      <c r="E133" s="17">
        <v>1</v>
      </c>
      <c r="F133" s="17">
        <v>1</v>
      </c>
      <c r="G133" s="17">
        <v>1</v>
      </c>
      <c r="H133" s="17">
        <v>1</v>
      </c>
      <c r="I133" s="17">
        <v>1</v>
      </c>
      <c r="J133" s="15" t="s">
        <v>11</v>
      </c>
    </row>
    <row r="134" spans="2:10" x14ac:dyDescent="0.35">
      <c r="B134" s="15" t="s">
        <v>164</v>
      </c>
      <c r="C134" s="15" t="s">
        <v>9</v>
      </c>
      <c r="D134" s="15" t="s">
        <v>48</v>
      </c>
      <c r="E134" s="17">
        <v>0.8571428571428571</v>
      </c>
      <c r="F134" s="17">
        <v>1</v>
      </c>
      <c r="G134" s="17">
        <v>0.99350649350649356</v>
      </c>
      <c r="H134" s="17">
        <v>0.77777777777777779</v>
      </c>
      <c r="I134" s="17">
        <v>0.90710678210678208</v>
      </c>
      <c r="J134" s="15" t="s">
        <v>11</v>
      </c>
    </row>
    <row r="135" spans="2:10" x14ac:dyDescent="0.35">
      <c r="B135" s="15" t="s">
        <v>165</v>
      </c>
      <c r="C135" s="15" t="s">
        <v>9</v>
      </c>
      <c r="D135" s="15" t="s">
        <v>26</v>
      </c>
      <c r="E135" s="17">
        <v>0.96499999999999997</v>
      </c>
      <c r="F135" s="17">
        <v>1</v>
      </c>
      <c r="G135" s="17">
        <v>1</v>
      </c>
      <c r="H135" s="17">
        <v>1</v>
      </c>
      <c r="I135" s="17">
        <v>0.99124999999999996</v>
      </c>
      <c r="J135" s="15" t="s">
        <v>11</v>
      </c>
    </row>
    <row r="136" spans="2:10" x14ac:dyDescent="0.35">
      <c r="B136" s="15" t="s">
        <v>166</v>
      </c>
      <c r="C136" s="15" t="s">
        <v>9</v>
      </c>
      <c r="D136" s="15" t="s">
        <v>26</v>
      </c>
      <c r="E136" s="17">
        <v>0.98364008179959095</v>
      </c>
      <c r="F136" s="17">
        <v>1</v>
      </c>
      <c r="G136" s="17">
        <v>0.97552447552447552</v>
      </c>
      <c r="H136" s="17">
        <v>0.96581196581196582</v>
      </c>
      <c r="I136" s="17">
        <v>0.98124413078400807</v>
      </c>
      <c r="J136" s="15" t="s">
        <v>11</v>
      </c>
    </row>
    <row r="137" spans="2:10" x14ac:dyDescent="0.35">
      <c r="B137" s="15" t="s">
        <v>167</v>
      </c>
      <c r="C137" s="15" t="s">
        <v>9</v>
      </c>
      <c r="D137" s="15" t="s">
        <v>23</v>
      </c>
      <c r="E137" s="17">
        <v>0.93867924528301883</v>
      </c>
      <c r="F137" s="17">
        <v>0.9916666666666667</v>
      </c>
      <c r="G137" s="17">
        <v>1</v>
      </c>
      <c r="H137" s="17">
        <v>0.92592592592592593</v>
      </c>
      <c r="I137" s="17">
        <v>0.96406795946890289</v>
      </c>
      <c r="J137" s="15" t="s">
        <v>11</v>
      </c>
    </row>
    <row r="138" spans="2:10" x14ac:dyDescent="0.35">
      <c r="B138" s="15" t="s">
        <v>168</v>
      </c>
      <c r="C138" s="15" t="s">
        <v>9</v>
      </c>
      <c r="D138" s="15" t="s">
        <v>43</v>
      </c>
      <c r="E138" s="17">
        <v>0.9939393939393939</v>
      </c>
      <c r="F138" s="17">
        <v>0.98181818181818181</v>
      </c>
      <c r="G138" s="17">
        <v>0.94628099173553715</v>
      </c>
      <c r="H138" s="17">
        <v>1</v>
      </c>
      <c r="I138" s="17">
        <v>0.98050964187327816</v>
      </c>
      <c r="J138" s="15" t="s">
        <v>11</v>
      </c>
    </row>
    <row r="139" spans="2:10" x14ac:dyDescent="0.35">
      <c r="B139" s="15" t="s">
        <v>169</v>
      </c>
      <c r="C139" s="15" t="s">
        <v>9</v>
      </c>
      <c r="D139" s="15" t="s">
        <v>13</v>
      </c>
      <c r="E139" s="17">
        <v>1</v>
      </c>
      <c r="F139" s="17">
        <v>1</v>
      </c>
      <c r="G139" s="17">
        <v>1</v>
      </c>
      <c r="H139" s="17">
        <v>1</v>
      </c>
      <c r="I139" s="17">
        <v>1</v>
      </c>
      <c r="J139" s="15" t="s">
        <v>11</v>
      </c>
    </row>
    <row r="140" spans="2:10" x14ac:dyDescent="0.35">
      <c r="B140" s="15" t="s">
        <v>170</v>
      </c>
      <c r="C140" s="15" t="s">
        <v>9</v>
      </c>
      <c r="D140" s="15" t="s">
        <v>21</v>
      </c>
      <c r="E140" s="17">
        <v>0.76666666666666672</v>
      </c>
      <c r="F140" s="17">
        <v>1</v>
      </c>
      <c r="G140" s="17">
        <v>1</v>
      </c>
      <c r="H140" s="17">
        <v>0.77777777777777779</v>
      </c>
      <c r="I140" s="17">
        <v>0.88611111111111107</v>
      </c>
      <c r="J140" s="15" t="s">
        <v>11</v>
      </c>
    </row>
    <row r="141" spans="2:10" x14ac:dyDescent="0.35">
      <c r="B141" s="15" t="s">
        <v>171</v>
      </c>
      <c r="C141" s="15" t="s">
        <v>9</v>
      </c>
      <c r="D141" s="15" t="s">
        <v>95</v>
      </c>
      <c r="E141" s="17">
        <v>1</v>
      </c>
      <c r="F141" s="17">
        <v>1</v>
      </c>
      <c r="G141" s="17">
        <v>1</v>
      </c>
      <c r="H141" s="17">
        <v>1</v>
      </c>
      <c r="I141" s="17">
        <v>1</v>
      </c>
      <c r="J141" s="15" t="s">
        <v>11</v>
      </c>
    </row>
    <row r="142" spans="2:10" x14ac:dyDescent="0.35">
      <c r="B142" s="15" t="s">
        <v>172</v>
      </c>
      <c r="C142" s="15" t="s">
        <v>9</v>
      </c>
      <c r="D142" s="15" t="s">
        <v>21</v>
      </c>
      <c r="E142" s="17">
        <v>1</v>
      </c>
      <c r="F142" s="17">
        <v>1</v>
      </c>
      <c r="G142" s="17">
        <v>1</v>
      </c>
      <c r="H142" s="17">
        <v>1</v>
      </c>
      <c r="I142" s="17">
        <v>1</v>
      </c>
      <c r="J142" s="15" t="s">
        <v>11</v>
      </c>
    </row>
    <row r="143" spans="2:10" x14ac:dyDescent="0.35">
      <c r="B143" s="15" t="s">
        <v>173</v>
      </c>
      <c r="C143" s="15" t="s">
        <v>9</v>
      </c>
      <c r="D143" s="15" t="s">
        <v>43</v>
      </c>
      <c r="E143" s="17">
        <v>0.97272727272727277</v>
      </c>
      <c r="F143" s="17">
        <v>1</v>
      </c>
      <c r="G143" s="17">
        <v>1</v>
      </c>
      <c r="H143" s="17">
        <v>1</v>
      </c>
      <c r="I143" s="17">
        <v>0.99318181818181817</v>
      </c>
      <c r="J143" s="15" t="s">
        <v>11</v>
      </c>
    </row>
    <row r="144" spans="2:10" x14ac:dyDescent="0.35">
      <c r="B144" s="15" t="s">
        <v>174</v>
      </c>
      <c r="C144" s="15" t="s">
        <v>9</v>
      </c>
      <c r="D144" s="15" t="s">
        <v>26</v>
      </c>
      <c r="E144" s="17">
        <v>0.96666666666666667</v>
      </c>
      <c r="F144" s="17">
        <v>1</v>
      </c>
      <c r="G144" s="17">
        <v>1</v>
      </c>
      <c r="H144" s="17">
        <v>0.82222222222222219</v>
      </c>
      <c r="I144" s="17">
        <v>0.94722222222222219</v>
      </c>
      <c r="J144" s="15" t="s">
        <v>11</v>
      </c>
    </row>
    <row r="145" spans="2:10" x14ac:dyDescent="0.35">
      <c r="B145" s="15" t="s">
        <v>175</v>
      </c>
      <c r="C145" s="15" t="s">
        <v>9</v>
      </c>
      <c r="D145" s="15" t="s">
        <v>65</v>
      </c>
      <c r="E145" s="17">
        <v>0.99735449735449733</v>
      </c>
      <c r="F145" s="17">
        <v>1</v>
      </c>
      <c r="G145" s="17">
        <v>1</v>
      </c>
      <c r="H145" s="17">
        <v>0.9</v>
      </c>
      <c r="I145" s="17">
        <v>0.97433862433862428</v>
      </c>
      <c r="J145" s="15" t="s">
        <v>11</v>
      </c>
    </row>
    <row r="146" spans="2:10" x14ac:dyDescent="0.35">
      <c r="B146" s="15" t="s">
        <v>176</v>
      </c>
      <c r="C146" s="15" t="s">
        <v>9</v>
      </c>
      <c r="D146" s="15" t="s">
        <v>43</v>
      </c>
      <c r="E146" s="17">
        <v>0.96666666666666667</v>
      </c>
      <c r="F146" s="17">
        <v>1</v>
      </c>
      <c r="G146" s="17">
        <v>1</v>
      </c>
      <c r="H146" s="17">
        <v>0.79797979797979801</v>
      </c>
      <c r="I146" s="17">
        <v>0.9411616161616162</v>
      </c>
      <c r="J146" s="15" t="s">
        <v>11</v>
      </c>
    </row>
    <row r="147" spans="2:10" x14ac:dyDescent="0.35">
      <c r="B147" s="15" t="s">
        <v>177</v>
      </c>
      <c r="C147" s="15" t="s">
        <v>9</v>
      </c>
      <c r="D147" s="15" t="s">
        <v>26</v>
      </c>
      <c r="E147" s="17">
        <v>0.97142857142857142</v>
      </c>
      <c r="F147" s="17">
        <v>1</v>
      </c>
      <c r="G147" s="17">
        <v>1</v>
      </c>
      <c r="H147" s="17">
        <v>1</v>
      </c>
      <c r="I147" s="17">
        <v>0.99285714285714288</v>
      </c>
      <c r="J147" s="15" t="s">
        <v>11</v>
      </c>
    </row>
    <row r="148" spans="2:10" x14ac:dyDescent="0.35">
      <c r="B148" s="15" t="s">
        <v>178</v>
      </c>
      <c r="C148" s="15" t="s">
        <v>9</v>
      </c>
      <c r="D148" s="15" t="s">
        <v>43</v>
      </c>
      <c r="E148" s="17">
        <v>0.96666666666666667</v>
      </c>
      <c r="F148" s="17">
        <v>1</v>
      </c>
      <c r="G148" s="17">
        <v>1</v>
      </c>
      <c r="H148" s="17">
        <v>1</v>
      </c>
      <c r="I148" s="17">
        <v>0.9916666666666667</v>
      </c>
      <c r="J148" s="15" t="s">
        <v>11</v>
      </c>
    </row>
    <row r="149" spans="2:10" x14ac:dyDescent="0.35">
      <c r="B149" s="15" t="s">
        <v>179</v>
      </c>
      <c r="C149" s="15" t="s">
        <v>9</v>
      </c>
      <c r="D149" s="15" t="s">
        <v>54</v>
      </c>
      <c r="E149" s="17">
        <v>0.99436090225563911</v>
      </c>
      <c r="F149" s="17">
        <v>1</v>
      </c>
      <c r="G149" s="17">
        <v>0.99025974025974028</v>
      </c>
      <c r="H149" s="17">
        <v>0.98412698412698407</v>
      </c>
      <c r="I149" s="17">
        <v>0.99218690666059084</v>
      </c>
      <c r="J149" s="15" t="s">
        <v>11</v>
      </c>
    </row>
    <row r="150" spans="2:10" x14ac:dyDescent="0.35">
      <c r="B150" s="15" t="s">
        <v>180</v>
      </c>
      <c r="C150" s="15" t="s">
        <v>130</v>
      </c>
      <c r="D150" s="15" t="s">
        <v>30</v>
      </c>
      <c r="E150" s="17">
        <v>1</v>
      </c>
      <c r="F150" s="17">
        <v>1</v>
      </c>
      <c r="G150" s="17">
        <v>1</v>
      </c>
      <c r="H150" s="17">
        <v>1</v>
      </c>
      <c r="I150" s="17">
        <v>1</v>
      </c>
      <c r="J150" s="15" t="s">
        <v>11</v>
      </c>
    </row>
    <row r="151" spans="2:10" x14ac:dyDescent="0.35">
      <c r="B151" s="15" t="s">
        <v>181</v>
      </c>
      <c r="C151" s="15" t="s">
        <v>130</v>
      </c>
      <c r="D151" s="15" t="s">
        <v>30</v>
      </c>
      <c r="E151" s="17">
        <v>0.98681318681318686</v>
      </c>
      <c r="F151" s="17">
        <v>1</v>
      </c>
      <c r="G151" s="17">
        <v>1</v>
      </c>
      <c r="H151" s="17">
        <v>0.97023809523809523</v>
      </c>
      <c r="I151" s="17">
        <v>0.98926282051282055</v>
      </c>
      <c r="J151" s="15" t="s">
        <v>11</v>
      </c>
    </row>
    <row r="152" spans="2:10" x14ac:dyDescent="0.35">
      <c r="B152" s="15" t="s">
        <v>182</v>
      </c>
      <c r="C152" s="15" t="s">
        <v>130</v>
      </c>
      <c r="D152" s="15" t="s">
        <v>30</v>
      </c>
      <c r="E152" s="17">
        <v>1</v>
      </c>
      <c r="F152" s="17">
        <v>1</v>
      </c>
      <c r="G152" s="17">
        <v>1</v>
      </c>
      <c r="H152" s="17">
        <v>1</v>
      </c>
      <c r="I152" s="17">
        <v>1</v>
      </c>
      <c r="J152" s="15" t="s">
        <v>11</v>
      </c>
    </row>
    <row r="153" spans="2:10" x14ac:dyDescent="0.35">
      <c r="B153" s="15" t="s">
        <v>183</v>
      </c>
      <c r="C153" s="15" t="s">
        <v>9</v>
      </c>
      <c r="D153" s="15" t="s">
        <v>93</v>
      </c>
      <c r="E153" s="17">
        <v>0.82777777777777772</v>
      </c>
      <c r="F153" s="17">
        <v>0.7</v>
      </c>
      <c r="G153" s="17">
        <v>1</v>
      </c>
      <c r="H153" s="17">
        <v>0.98148148148148151</v>
      </c>
      <c r="I153" s="17">
        <v>0.87731481481481477</v>
      </c>
      <c r="J153" s="15" t="s">
        <v>11</v>
      </c>
    </row>
    <row r="154" spans="2:10" x14ac:dyDescent="0.35">
      <c r="B154" s="15" t="s">
        <v>184</v>
      </c>
      <c r="C154" s="15" t="s">
        <v>9</v>
      </c>
      <c r="D154" s="15" t="s">
        <v>54</v>
      </c>
      <c r="E154" s="17">
        <v>0.9458333333333333</v>
      </c>
      <c r="F154" s="17">
        <v>1</v>
      </c>
      <c r="G154" s="17">
        <v>0.89772727272727271</v>
      </c>
      <c r="H154" s="17">
        <v>0.97222222222222221</v>
      </c>
      <c r="I154" s="17">
        <v>0.95394570707070714</v>
      </c>
      <c r="J154" s="15" t="s">
        <v>11</v>
      </c>
    </row>
    <row r="155" spans="2:10" x14ac:dyDescent="0.35">
      <c r="B155" s="15" t="s">
        <v>185</v>
      </c>
      <c r="C155" s="15" t="s">
        <v>9</v>
      </c>
      <c r="D155" s="15" t="s">
        <v>95</v>
      </c>
      <c r="E155" s="17">
        <v>0.93333333333333335</v>
      </c>
      <c r="F155" s="17">
        <v>1</v>
      </c>
      <c r="G155" s="17">
        <v>1</v>
      </c>
      <c r="H155" s="17">
        <v>1</v>
      </c>
      <c r="I155" s="17">
        <v>0.98333333333333339</v>
      </c>
      <c r="J155" s="15" t="s">
        <v>11</v>
      </c>
    </row>
    <row r="156" spans="2:10" x14ac:dyDescent="0.35">
      <c r="B156" s="15" t="s">
        <v>186</v>
      </c>
      <c r="C156" s="15" t="s">
        <v>9</v>
      </c>
      <c r="D156" s="15" t="s">
        <v>26</v>
      </c>
      <c r="E156" s="17">
        <v>0.92777777777777781</v>
      </c>
      <c r="F156" s="17">
        <v>0.98333333333333328</v>
      </c>
      <c r="G156" s="17">
        <v>0.97727272727272729</v>
      </c>
      <c r="H156" s="17">
        <v>0.79629629629629628</v>
      </c>
      <c r="I156" s="17">
        <v>0.92117003367003358</v>
      </c>
      <c r="J156" s="15" t="s">
        <v>11</v>
      </c>
    </row>
    <row r="157" spans="2:10" x14ac:dyDescent="0.35">
      <c r="B157" s="15" t="s">
        <v>187</v>
      </c>
      <c r="C157" s="15" t="s">
        <v>9</v>
      </c>
      <c r="D157" s="15" t="s">
        <v>10</v>
      </c>
      <c r="E157" s="17">
        <v>1</v>
      </c>
      <c r="F157" s="17">
        <v>1</v>
      </c>
      <c r="G157" s="17">
        <v>1</v>
      </c>
      <c r="H157" s="17">
        <v>0.99259259259259258</v>
      </c>
      <c r="I157" s="17">
        <v>0.99814814814814812</v>
      </c>
      <c r="J157" s="15" t="s">
        <v>11</v>
      </c>
    </row>
    <row r="158" spans="2:10" x14ac:dyDescent="0.35">
      <c r="B158" s="15" t="s">
        <v>188</v>
      </c>
      <c r="C158" s="15" t="s">
        <v>9</v>
      </c>
      <c r="D158" s="15" t="s">
        <v>10</v>
      </c>
      <c r="E158" s="17">
        <v>1</v>
      </c>
      <c r="F158" s="17">
        <v>1</v>
      </c>
      <c r="G158" s="17">
        <v>1</v>
      </c>
      <c r="H158" s="17">
        <v>1</v>
      </c>
      <c r="I158" s="17">
        <v>1</v>
      </c>
      <c r="J158" s="15" t="s">
        <v>11</v>
      </c>
    </row>
    <row r="159" spans="2:10" x14ac:dyDescent="0.35">
      <c r="B159" s="15" t="s">
        <v>189</v>
      </c>
      <c r="C159" s="15" t="s">
        <v>9</v>
      </c>
      <c r="D159" s="15" t="s">
        <v>26</v>
      </c>
      <c r="E159" s="17">
        <v>1</v>
      </c>
      <c r="F159" s="17">
        <v>1</v>
      </c>
      <c r="G159" s="17">
        <v>1</v>
      </c>
      <c r="H159" s="17">
        <v>1</v>
      </c>
      <c r="I159" s="17">
        <v>1</v>
      </c>
      <c r="J159" s="15" t="s">
        <v>11</v>
      </c>
    </row>
    <row r="160" spans="2:10" x14ac:dyDescent="0.35">
      <c r="B160" s="15" t="s">
        <v>190</v>
      </c>
      <c r="C160" s="15" t="s">
        <v>9</v>
      </c>
      <c r="D160" s="15" t="s">
        <v>23</v>
      </c>
      <c r="E160" s="17">
        <v>0.97678018575851389</v>
      </c>
      <c r="F160" s="17">
        <v>0.96176470588235297</v>
      </c>
      <c r="G160" s="17">
        <v>0.9866310160427807</v>
      </c>
      <c r="H160" s="17">
        <v>0.98692810457516345</v>
      </c>
      <c r="I160" s="17">
        <v>0.97802600306470278</v>
      </c>
      <c r="J160" s="15" t="s">
        <v>11</v>
      </c>
    </row>
    <row r="161" spans="2:10" x14ac:dyDescent="0.35">
      <c r="B161" s="15" t="s">
        <v>191</v>
      </c>
      <c r="C161" s="15" t="s">
        <v>9</v>
      </c>
      <c r="D161" s="15" t="s">
        <v>23</v>
      </c>
      <c r="E161" s="17">
        <v>0.93888888888888888</v>
      </c>
      <c r="F161" s="17">
        <v>0.93333333333333335</v>
      </c>
      <c r="G161" s="17">
        <v>0.9242424242424242</v>
      </c>
      <c r="H161" s="17">
        <v>0.7407407407407407</v>
      </c>
      <c r="I161" s="17">
        <v>0.88430134680134675</v>
      </c>
      <c r="J161" s="15" t="s">
        <v>11</v>
      </c>
    </row>
    <row r="162" spans="2:10" x14ac:dyDescent="0.35">
      <c r="B162" s="15" t="s">
        <v>192</v>
      </c>
      <c r="C162" s="15" t="s">
        <v>9</v>
      </c>
      <c r="D162" s="15" t="s">
        <v>10</v>
      </c>
      <c r="E162" s="17">
        <v>0.98333333333333328</v>
      </c>
      <c r="F162" s="17">
        <v>1</v>
      </c>
      <c r="G162" s="17">
        <v>0.98484848484848486</v>
      </c>
      <c r="H162" s="17">
        <v>1</v>
      </c>
      <c r="I162" s="17">
        <v>0.99204545454545456</v>
      </c>
      <c r="J162" s="15" t="s">
        <v>11</v>
      </c>
    </row>
    <row r="163" spans="2:10" x14ac:dyDescent="0.35">
      <c r="B163" s="15" t="s">
        <v>193</v>
      </c>
      <c r="C163" s="15" t="s">
        <v>9</v>
      </c>
      <c r="D163" s="15" t="s">
        <v>10</v>
      </c>
      <c r="E163" s="17">
        <v>0.97222222222222221</v>
      </c>
      <c r="F163" s="17">
        <v>1</v>
      </c>
      <c r="G163" s="17">
        <v>0.90530303030303028</v>
      </c>
      <c r="H163" s="17">
        <v>1</v>
      </c>
      <c r="I163" s="17">
        <v>0.96938131313131315</v>
      </c>
      <c r="J163" s="15" t="s">
        <v>11</v>
      </c>
    </row>
    <row r="164" spans="2:10" x14ac:dyDescent="0.35">
      <c r="B164" s="15" t="s">
        <v>194</v>
      </c>
      <c r="C164" s="15" t="s">
        <v>9</v>
      </c>
      <c r="D164" s="15" t="s">
        <v>43</v>
      </c>
      <c r="E164" s="17">
        <v>0.98095238095238091</v>
      </c>
      <c r="F164" s="17">
        <v>0.98571428571428577</v>
      </c>
      <c r="G164" s="17">
        <v>0.87662337662337664</v>
      </c>
      <c r="H164" s="17">
        <v>0.82539682539682535</v>
      </c>
      <c r="I164" s="17">
        <v>0.91717171717171708</v>
      </c>
      <c r="J164" s="15" t="s">
        <v>11</v>
      </c>
    </row>
    <row r="165" spans="2:10" x14ac:dyDescent="0.35">
      <c r="B165" s="15" t="s">
        <v>8</v>
      </c>
      <c r="C165" s="15" t="s">
        <v>9</v>
      </c>
      <c r="D165" s="15" t="s">
        <v>10</v>
      </c>
      <c r="E165" s="17">
        <v>0.77777777777777779</v>
      </c>
      <c r="F165" s="17">
        <v>1</v>
      </c>
      <c r="G165" s="17"/>
      <c r="H165" s="17"/>
      <c r="I165" s="17">
        <v>0.88888888888888884</v>
      </c>
      <c r="J165" s="15" t="s">
        <v>195</v>
      </c>
    </row>
    <row r="166" spans="2:10" x14ac:dyDescent="0.35">
      <c r="B166" s="15" t="s">
        <v>12</v>
      </c>
      <c r="C166" s="15" t="s">
        <v>9</v>
      </c>
      <c r="D166" s="15" t="s">
        <v>13</v>
      </c>
      <c r="E166" s="17">
        <v>1</v>
      </c>
      <c r="F166" s="17">
        <v>1</v>
      </c>
      <c r="G166" s="17"/>
      <c r="H166" s="17"/>
      <c r="I166" s="17">
        <v>1</v>
      </c>
      <c r="J166" s="15" t="s">
        <v>195</v>
      </c>
    </row>
    <row r="167" spans="2:10" x14ac:dyDescent="0.35">
      <c r="B167" s="15" t="s">
        <v>14</v>
      </c>
      <c r="C167" s="15" t="s">
        <v>9</v>
      </c>
      <c r="D167" s="15" t="s">
        <v>10</v>
      </c>
      <c r="E167" s="17">
        <v>0.4</v>
      </c>
      <c r="F167" s="17">
        <v>1</v>
      </c>
      <c r="G167" s="17"/>
      <c r="H167" s="17"/>
      <c r="I167" s="17">
        <v>0.7</v>
      </c>
      <c r="J167" s="15" t="s">
        <v>195</v>
      </c>
    </row>
    <row r="168" spans="2:10" x14ac:dyDescent="0.35">
      <c r="B168" s="15" t="s">
        <v>15</v>
      </c>
      <c r="C168" s="15" t="s">
        <v>9</v>
      </c>
      <c r="D168" s="15" t="s">
        <v>16</v>
      </c>
      <c r="E168" s="17">
        <v>1</v>
      </c>
      <c r="F168" s="17">
        <v>1</v>
      </c>
      <c r="G168" s="17"/>
      <c r="H168" s="17"/>
      <c r="I168" s="17">
        <v>1</v>
      </c>
      <c r="J168" s="15" t="s">
        <v>195</v>
      </c>
    </row>
    <row r="169" spans="2:10" x14ac:dyDescent="0.35">
      <c r="B169" s="15" t="s">
        <v>17</v>
      </c>
      <c r="C169" s="15" t="s">
        <v>9</v>
      </c>
      <c r="D169" s="15" t="s">
        <v>18</v>
      </c>
      <c r="E169" s="17">
        <v>0.45454545454545453</v>
      </c>
      <c r="F169" s="17">
        <v>1</v>
      </c>
      <c r="G169" s="17"/>
      <c r="H169" s="17"/>
      <c r="I169" s="17">
        <v>0.72727272727272729</v>
      </c>
      <c r="J169" s="15" t="s">
        <v>195</v>
      </c>
    </row>
    <row r="170" spans="2:10" x14ac:dyDescent="0.35">
      <c r="B170" s="15" t="s">
        <v>19</v>
      </c>
      <c r="C170" s="15" t="s">
        <v>9</v>
      </c>
      <c r="D170" s="15" t="s">
        <v>13</v>
      </c>
      <c r="E170" s="17">
        <v>0.4</v>
      </c>
      <c r="F170" s="17">
        <v>1</v>
      </c>
      <c r="G170" s="17"/>
      <c r="H170" s="17"/>
      <c r="I170" s="17">
        <v>0.7</v>
      </c>
      <c r="J170" s="15" t="s">
        <v>195</v>
      </c>
    </row>
    <row r="171" spans="2:10" x14ac:dyDescent="0.35">
      <c r="B171" s="15" t="s">
        <v>20</v>
      </c>
      <c r="C171" s="15" t="s">
        <v>9</v>
      </c>
      <c r="D171" s="15" t="s">
        <v>21</v>
      </c>
      <c r="E171" s="17">
        <v>0.4</v>
      </c>
      <c r="F171" s="17">
        <v>1</v>
      </c>
      <c r="G171" s="17"/>
      <c r="H171" s="17"/>
      <c r="I171" s="17">
        <v>0.7</v>
      </c>
      <c r="J171" s="15" t="s">
        <v>195</v>
      </c>
    </row>
    <row r="172" spans="2:10" x14ac:dyDescent="0.35">
      <c r="B172" s="15" t="s">
        <v>22</v>
      </c>
      <c r="C172" s="15" t="s">
        <v>9</v>
      </c>
      <c r="D172" s="15" t="s">
        <v>23</v>
      </c>
      <c r="E172" s="17">
        <v>1</v>
      </c>
      <c r="F172" s="17">
        <v>1</v>
      </c>
      <c r="G172" s="17"/>
      <c r="H172" s="17"/>
      <c r="I172" s="17">
        <v>1</v>
      </c>
      <c r="J172" s="15" t="s">
        <v>195</v>
      </c>
    </row>
    <row r="173" spans="2:10" x14ac:dyDescent="0.35">
      <c r="B173" s="15" t="s">
        <v>24</v>
      </c>
      <c r="C173" s="15" t="s">
        <v>9</v>
      </c>
      <c r="D173" s="15" t="s">
        <v>13</v>
      </c>
      <c r="E173" s="17">
        <v>0.63636363636363635</v>
      </c>
      <c r="F173" s="17">
        <v>1</v>
      </c>
      <c r="G173" s="17"/>
      <c r="H173" s="17"/>
      <c r="I173" s="17">
        <v>0.81818181818181812</v>
      </c>
      <c r="J173" s="15" t="s">
        <v>195</v>
      </c>
    </row>
    <row r="174" spans="2:10" x14ac:dyDescent="0.35">
      <c r="B174" s="15" t="s">
        <v>25</v>
      </c>
      <c r="C174" s="15" t="s">
        <v>9</v>
      </c>
      <c r="D174" s="15" t="s">
        <v>26</v>
      </c>
      <c r="E174" s="17">
        <v>0.85</v>
      </c>
      <c r="F174" s="17">
        <v>1</v>
      </c>
      <c r="G174" s="17"/>
      <c r="H174" s="17"/>
      <c r="I174" s="17">
        <v>0.92500000000000004</v>
      </c>
      <c r="J174" s="15" t="s">
        <v>195</v>
      </c>
    </row>
    <row r="175" spans="2:10" x14ac:dyDescent="0.35">
      <c r="B175" s="15" t="s">
        <v>27</v>
      </c>
      <c r="C175" s="15" t="s">
        <v>9</v>
      </c>
      <c r="D175" s="15" t="s">
        <v>26</v>
      </c>
      <c r="E175" s="17">
        <v>0.55000000000000004</v>
      </c>
      <c r="F175" s="17">
        <v>1</v>
      </c>
      <c r="G175" s="17"/>
      <c r="H175" s="17"/>
      <c r="I175" s="17">
        <v>0.77500000000000002</v>
      </c>
      <c r="J175" s="15" t="s">
        <v>195</v>
      </c>
    </row>
    <row r="176" spans="2:10" x14ac:dyDescent="0.35">
      <c r="B176" s="15" t="s">
        <v>28</v>
      </c>
      <c r="C176" s="15" t="s">
        <v>29</v>
      </c>
      <c r="D176" s="15" t="s">
        <v>30</v>
      </c>
      <c r="E176" s="17">
        <v>0.22222222222222221</v>
      </c>
      <c r="F176" s="17">
        <v>1</v>
      </c>
      <c r="G176" s="17"/>
      <c r="H176" s="17"/>
      <c r="I176" s="17">
        <v>0.61111111111111116</v>
      </c>
      <c r="J176" s="15" t="s">
        <v>195</v>
      </c>
    </row>
    <row r="177" spans="2:10" x14ac:dyDescent="0.35">
      <c r="B177" s="15" t="s">
        <v>31</v>
      </c>
      <c r="C177" s="15" t="s">
        <v>29</v>
      </c>
      <c r="D177" s="15" t="s">
        <v>30</v>
      </c>
      <c r="E177" s="17">
        <v>0.38636363636363635</v>
      </c>
      <c r="F177" s="17">
        <v>1</v>
      </c>
      <c r="G177" s="17"/>
      <c r="H177" s="17"/>
      <c r="I177" s="17">
        <v>0.69318181818181812</v>
      </c>
      <c r="J177" s="15" t="s">
        <v>195</v>
      </c>
    </row>
    <row r="178" spans="2:10" x14ac:dyDescent="0.35">
      <c r="B178" s="15" t="s">
        <v>32</v>
      </c>
      <c r="C178" s="15" t="s">
        <v>29</v>
      </c>
      <c r="D178" s="15" t="s">
        <v>30</v>
      </c>
      <c r="E178" s="17">
        <v>0.2</v>
      </c>
      <c r="F178" s="17">
        <v>1</v>
      </c>
      <c r="G178" s="17"/>
      <c r="H178" s="17"/>
      <c r="I178" s="17">
        <v>0.6</v>
      </c>
      <c r="J178" s="15" t="s">
        <v>195</v>
      </c>
    </row>
    <row r="179" spans="2:10" x14ac:dyDescent="0.35">
      <c r="B179" s="15" t="s">
        <v>33</v>
      </c>
      <c r="C179" s="15" t="s">
        <v>29</v>
      </c>
      <c r="D179" s="15" t="s">
        <v>30</v>
      </c>
      <c r="E179" s="17">
        <v>0.22222222222222221</v>
      </c>
      <c r="F179" s="17">
        <v>1</v>
      </c>
      <c r="G179" s="17"/>
      <c r="H179" s="17"/>
      <c r="I179" s="17">
        <v>0.61111111111111116</v>
      </c>
      <c r="J179" s="15" t="s">
        <v>195</v>
      </c>
    </row>
    <row r="180" spans="2:10" x14ac:dyDescent="0.35">
      <c r="B180" s="15" t="s">
        <v>34</v>
      </c>
      <c r="C180" s="15" t="s">
        <v>35</v>
      </c>
      <c r="D180" s="15" t="s">
        <v>30</v>
      </c>
      <c r="E180" s="17">
        <v>0.44444444444444442</v>
      </c>
      <c r="F180" s="17">
        <v>1</v>
      </c>
      <c r="G180" s="17"/>
      <c r="H180" s="17"/>
      <c r="I180" s="17">
        <v>0.72222222222222221</v>
      </c>
      <c r="J180" s="15" t="s">
        <v>195</v>
      </c>
    </row>
    <row r="181" spans="2:10" x14ac:dyDescent="0.35">
      <c r="B181" s="15" t="s">
        <v>36</v>
      </c>
      <c r="C181" s="15" t="s">
        <v>35</v>
      </c>
      <c r="D181" s="15" t="s">
        <v>30</v>
      </c>
      <c r="E181" s="17">
        <v>0.4</v>
      </c>
      <c r="F181" s="17">
        <v>0.66666666666666663</v>
      </c>
      <c r="G181" s="17"/>
      <c r="H181" s="17"/>
      <c r="I181" s="17">
        <v>0.53333333333333333</v>
      </c>
      <c r="J181" s="15" t="s">
        <v>195</v>
      </c>
    </row>
    <row r="182" spans="2:10" x14ac:dyDescent="0.35">
      <c r="B182" s="15" t="s">
        <v>37</v>
      </c>
      <c r="C182" s="15" t="s">
        <v>35</v>
      </c>
      <c r="D182" s="15" t="s">
        <v>30</v>
      </c>
      <c r="E182" s="17">
        <v>0.4</v>
      </c>
      <c r="F182" s="17">
        <v>1</v>
      </c>
      <c r="G182" s="17"/>
      <c r="H182" s="17"/>
      <c r="I182" s="17">
        <v>0.7</v>
      </c>
      <c r="J182" s="15" t="s">
        <v>195</v>
      </c>
    </row>
    <row r="183" spans="2:10" x14ac:dyDescent="0.35">
      <c r="B183" s="15" t="s">
        <v>38</v>
      </c>
      <c r="C183" s="15" t="s">
        <v>35</v>
      </c>
      <c r="D183" s="15" t="s">
        <v>30</v>
      </c>
      <c r="E183" s="17">
        <v>0.4</v>
      </c>
      <c r="F183" s="17">
        <v>1</v>
      </c>
      <c r="G183" s="17"/>
      <c r="H183" s="17"/>
      <c r="I183" s="17">
        <v>0.7</v>
      </c>
      <c r="J183" s="15" t="s">
        <v>195</v>
      </c>
    </row>
    <row r="184" spans="2:10" x14ac:dyDescent="0.35">
      <c r="B184" s="15" t="s">
        <v>39</v>
      </c>
      <c r="C184" s="15" t="s">
        <v>35</v>
      </c>
      <c r="D184" s="15" t="s">
        <v>30</v>
      </c>
      <c r="E184" s="17">
        <v>0.46153846153846156</v>
      </c>
      <c r="F184" s="17">
        <v>1</v>
      </c>
      <c r="G184" s="17"/>
      <c r="H184" s="17"/>
      <c r="I184" s="17">
        <v>0.73076923076923084</v>
      </c>
      <c r="J184" s="15" t="s">
        <v>195</v>
      </c>
    </row>
    <row r="185" spans="2:10" x14ac:dyDescent="0.35">
      <c r="B185" s="15" t="s">
        <v>40</v>
      </c>
      <c r="C185" s="15" t="s">
        <v>35</v>
      </c>
      <c r="D185" s="15" t="s">
        <v>30</v>
      </c>
      <c r="E185" s="17">
        <v>0.47058823529411764</v>
      </c>
      <c r="F185" s="17">
        <v>1</v>
      </c>
      <c r="G185" s="17"/>
      <c r="H185" s="17"/>
      <c r="I185" s="17">
        <v>0.73529411764705888</v>
      </c>
      <c r="J185" s="15" t="s">
        <v>195</v>
      </c>
    </row>
    <row r="186" spans="2:10" x14ac:dyDescent="0.35">
      <c r="B186" s="15" t="s">
        <v>41</v>
      </c>
      <c r="C186" s="15" t="s">
        <v>35</v>
      </c>
      <c r="D186" s="15" t="s">
        <v>30</v>
      </c>
      <c r="E186" s="17">
        <v>0.4</v>
      </c>
      <c r="F186" s="17">
        <v>1</v>
      </c>
      <c r="G186" s="17"/>
      <c r="H186" s="17"/>
      <c r="I186" s="17">
        <v>0.7</v>
      </c>
      <c r="J186" s="15" t="s">
        <v>195</v>
      </c>
    </row>
    <row r="187" spans="2:10" x14ac:dyDescent="0.35">
      <c r="B187" s="15" t="s">
        <v>42</v>
      </c>
      <c r="C187" s="15" t="s">
        <v>9</v>
      </c>
      <c r="D187" s="15" t="s">
        <v>43</v>
      </c>
      <c r="E187" s="17">
        <v>0.62962962962962965</v>
      </c>
      <c r="F187" s="17">
        <v>1</v>
      </c>
      <c r="G187" s="17"/>
      <c r="H187" s="17"/>
      <c r="I187" s="17">
        <v>0.81481481481481488</v>
      </c>
      <c r="J187" s="15" t="s">
        <v>195</v>
      </c>
    </row>
    <row r="188" spans="2:10" x14ac:dyDescent="0.35">
      <c r="B188" s="15" t="s">
        <v>44</v>
      </c>
      <c r="C188" s="15" t="s">
        <v>9</v>
      </c>
      <c r="D188" s="15" t="s">
        <v>43</v>
      </c>
      <c r="E188" s="17">
        <v>1</v>
      </c>
      <c r="F188" s="17">
        <v>1</v>
      </c>
      <c r="G188" s="17"/>
      <c r="H188" s="17"/>
      <c r="I188" s="17">
        <v>1</v>
      </c>
      <c r="J188" s="15" t="s">
        <v>195</v>
      </c>
    </row>
    <row r="189" spans="2:10" x14ac:dyDescent="0.35">
      <c r="B189" s="15" t="s">
        <v>45</v>
      </c>
      <c r="C189" s="15" t="s">
        <v>9</v>
      </c>
      <c r="D189" s="15" t="s">
        <v>23</v>
      </c>
      <c r="E189" s="17">
        <v>0.75</v>
      </c>
      <c r="F189" s="17">
        <v>1</v>
      </c>
      <c r="G189" s="17"/>
      <c r="H189" s="17"/>
      <c r="I189" s="17">
        <v>0.875</v>
      </c>
      <c r="J189" s="15" t="s">
        <v>195</v>
      </c>
    </row>
    <row r="190" spans="2:10" x14ac:dyDescent="0.35">
      <c r="B190" s="15" t="s">
        <v>46</v>
      </c>
      <c r="C190" s="15" t="s">
        <v>9</v>
      </c>
      <c r="D190" s="15" t="s">
        <v>26</v>
      </c>
      <c r="E190" s="17">
        <v>0.86363636363636365</v>
      </c>
      <c r="F190" s="17">
        <v>1</v>
      </c>
      <c r="G190" s="17"/>
      <c r="H190" s="17"/>
      <c r="I190" s="17">
        <v>0.93181818181818188</v>
      </c>
      <c r="J190" s="15" t="s">
        <v>195</v>
      </c>
    </row>
    <row r="191" spans="2:10" x14ac:dyDescent="0.35">
      <c r="B191" s="15" t="s">
        <v>49</v>
      </c>
      <c r="C191" s="15" t="s">
        <v>9</v>
      </c>
      <c r="D191" s="15" t="s">
        <v>26</v>
      </c>
      <c r="E191" s="17">
        <v>0.9</v>
      </c>
      <c r="F191" s="17">
        <v>1</v>
      </c>
      <c r="G191" s="17"/>
      <c r="H191" s="17"/>
      <c r="I191" s="17">
        <v>0.95</v>
      </c>
      <c r="J191" s="15" t="s">
        <v>195</v>
      </c>
    </row>
    <row r="192" spans="2:10" x14ac:dyDescent="0.35">
      <c r="B192" s="15" t="s">
        <v>50</v>
      </c>
      <c r="C192" s="15" t="s">
        <v>9</v>
      </c>
      <c r="D192" s="15" t="s">
        <v>26</v>
      </c>
      <c r="E192" s="17">
        <v>0.4</v>
      </c>
      <c r="F192" s="17">
        <v>1</v>
      </c>
      <c r="G192" s="17"/>
      <c r="H192" s="17"/>
      <c r="I192" s="17">
        <v>0.7</v>
      </c>
      <c r="J192" s="15" t="s">
        <v>195</v>
      </c>
    </row>
    <row r="193" spans="2:10" x14ac:dyDescent="0.35">
      <c r="B193" s="15" t="s">
        <v>51</v>
      </c>
      <c r="C193" s="15" t="s">
        <v>9</v>
      </c>
      <c r="D193" s="15" t="s">
        <v>26</v>
      </c>
      <c r="E193" s="17">
        <v>0.64</v>
      </c>
      <c r="F193" s="17">
        <v>1</v>
      </c>
      <c r="G193" s="17"/>
      <c r="H193" s="17"/>
      <c r="I193" s="17">
        <v>0.82000000000000006</v>
      </c>
      <c r="J193" s="15" t="s">
        <v>195</v>
      </c>
    </row>
    <row r="194" spans="2:10" x14ac:dyDescent="0.35">
      <c r="B194" s="15" t="s">
        <v>52</v>
      </c>
      <c r="C194" s="15" t="s">
        <v>9</v>
      </c>
      <c r="D194" s="15" t="s">
        <v>26</v>
      </c>
      <c r="E194" s="17">
        <v>0.4</v>
      </c>
      <c r="F194" s="17">
        <v>1</v>
      </c>
      <c r="G194" s="17"/>
      <c r="H194" s="17"/>
      <c r="I194" s="17">
        <v>0.7</v>
      </c>
      <c r="J194" s="15" t="s">
        <v>195</v>
      </c>
    </row>
    <row r="195" spans="2:10" x14ac:dyDescent="0.35">
      <c r="B195" s="15" t="s">
        <v>53</v>
      </c>
      <c r="C195" s="15" t="s">
        <v>9</v>
      </c>
      <c r="D195" s="15" t="s">
        <v>54</v>
      </c>
      <c r="E195" s="17">
        <v>1</v>
      </c>
      <c r="F195" s="17">
        <v>1</v>
      </c>
      <c r="G195" s="17"/>
      <c r="H195" s="17"/>
      <c r="I195" s="17">
        <v>1</v>
      </c>
      <c r="J195" s="15" t="s">
        <v>195</v>
      </c>
    </row>
    <row r="196" spans="2:10" x14ac:dyDescent="0.35">
      <c r="B196" s="15" t="s">
        <v>56</v>
      </c>
      <c r="C196" s="15" t="s">
        <v>9</v>
      </c>
      <c r="D196" s="15" t="s">
        <v>57</v>
      </c>
      <c r="E196" s="17">
        <v>0.4</v>
      </c>
      <c r="F196" s="17">
        <v>1</v>
      </c>
      <c r="G196" s="17"/>
      <c r="H196" s="17"/>
      <c r="I196" s="17">
        <v>0.7</v>
      </c>
      <c r="J196" s="15" t="s">
        <v>195</v>
      </c>
    </row>
    <row r="197" spans="2:10" x14ac:dyDescent="0.35">
      <c r="B197" s="15" t="s">
        <v>58</v>
      </c>
      <c r="C197" s="15" t="s">
        <v>9</v>
      </c>
      <c r="D197" s="15" t="s">
        <v>10</v>
      </c>
      <c r="E197" s="17">
        <v>0.55000000000000004</v>
      </c>
      <c r="F197" s="17">
        <v>1</v>
      </c>
      <c r="G197" s="17"/>
      <c r="H197" s="17"/>
      <c r="I197" s="17">
        <v>0.77500000000000002</v>
      </c>
      <c r="J197" s="15" t="s">
        <v>195</v>
      </c>
    </row>
    <row r="198" spans="2:10" x14ac:dyDescent="0.35">
      <c r="B198" s="15" t="s">
        <v>60</v>
      </c>
      <c r="C198" s="15" t="s">
        <v>9</v>
      </c>
      <c r="D198" s="15" t="s">
        <v>26</v>
      </c>
      <c r="E198" s="17">
        <v>0.44444444444444442</v>
      </c>
      <c r="F198" s="17">
        <v>1</v>
      </c>
      <c r="G198" s="17"/>
      <c r="H198" s="17"/>
      <c r="I198" s="17">
        <v>0.72222222222222221</v>
      </c>
      <c r="J198" s="15" t="s">
        <v>195</v>
      </c>
    </row>
    <row r="199" spans="2:10" x14ac:dyDescent="0.35">
      <c r="B199" s="15" t="s">
        <v>61</v>
      </c>
      <c r="C199" s="15" t="s">
        <v>9</v>
      </c>
      <c r="D199" s="15" t="s">
        <v>23</v>
      </c>
      <c r="E199" s="17">
        <v>1</v>
      </c>
      <c r="F199" s="17">
        <v>1</v>
      </c>
      <c r="G199" s="17"/>
      <c r="H199" s="17"/>
      <c r="I199" s="17">
        <v>1</v>
      </c>
      <c r="J199" s="15" t="s">
        <v>195</v>
      </c>
    </row>
    <row r="200" spans="2:10" x14ac:dyDescent="0.35">
      <c r="B200" s="15" t="s">
        <v>62</v>
      </c>
      <c r="C200" s="15" t="s">
        <v>9</v>
      </c>
      <c r="D200" s="15" t="s">
        <v>23</v>
      </c>
      <c r="E200" s="17">
        <v>0.88888888888888884</v>
      </c>
      <c r="F200" s="17">
        <v>1</v>
      </c>
      <c r="G200" s="17"/>
      <c r="H200" s="17"/>
      <c r="I200" s="17">
        <v>0.94444444444444442</v>
      </c>
      <c r="J200" s="15" t="s">
        <v>195</v>
      </c>
    </row>
    <row r="201" spans="2:10" x14ac:dyDescent="0.35">
      <c r="B201" s="15" t="s">
        <v>63</v>
      </c>
      <c r="C201" s="15" t="s">
        <v>9</v>
      </c>
      <c r="D201" s="15" t="s">
        <v>26</v>
      </c>
      <c r="E201" s="17">
        <v>0.6470588235294118</v>
      </c>
      <c r="F201" s="17">
        <v>1</v>
      </c>
      <c r="G201" s="17"/>
      <c r="H201" s="17"/>
      <c r="I201" s="17">
        <v>0.82352941176470584</v>
      </c>
      <c r="J201" s="15" t="s">
        <v>195</v>
      </c>
    </row>
    <row r="202" spans="2:10" x14ac:dyDescent="0.35">
      <c r="B202" s="15" t="s">
        <v>64</v>
      </c>
      <c r="C202" s="15" t="s">
        <v>9</v>
      </c>
      <c r="D202" s="15" t="s">
        <v>65</v>
      </c>
      <c r="E202" s="17">
        <v>1</v>
      </c>
      <c r="F202" s="17">
        <v>1</v>
      </c>
      <c r="G202" s="17"/>
      <c r="H202" s="17"/>
      <c r="I202" s="17">
        <v>1</v>
      </c>
      <c r="J202" s="15" t="s">
        <v>195</v>
      </c>
    </row>
    <row r="203" spans="2:10" x14ac:dyDescent="0.35">
      <c r="B203" s="15" t="s">
        <v>66</v>
      </c>
      <c r="C203" s="15" t="s">
        <v>9</v>
      </c>
      <c r="D203" s="15" t="s">
        <v>48</v>
      </c>
      <c r="E203" s="17">
        <v>0.4</v>
      </c>
      <c r="F203" s="17">
        <v>1</v>
      </c>
      <c r="G203" s="17"/>
      <c r="H203" s="17"/>
      <c r="I203" s="17">
        <v>0.7</v>
      </c>
      <c r="J203" s="15" t="s">
        <v>195</v>
      </c>
    </row>
    <row r="204" spans="2:10" x14ac:dyDescent="0.35">
      <c r="B204" s="15" t="s">
        <v>67</v>
      </c>
      <c r="C204" s="15" t="s">
        <v>9</v>
      </c>
      <c r="D204" s="15" t="s">
        <v>18</v>
      </c>
      <c r="E204" s="17">
        <v>0.4</v>
      </c>
      <c r="F204" s="17">
        <v>1</v>
      </c>
      <c r="G204" s="17"/>
      <c r="H204" s="17"/>
      <c r="I204" s="17">
        <v>0.7</v>
      </c>
      <c r="J204" s="15" t="s">
        <v>195</v>
      </c>
    </row>
    <row r="205" spans="2:10" x14ac:dyDescent="0.35">
      <c r="B205" s="15" t="s">
        <v>68</v>
      </c>
      <c r="C205" s="15" t="s">
        <v>9</v>
      </c>
      <c r="D205" s="15" t="s">
        <v>26</v>
      </c>
      <c r="E205" s="17">
        <v>0.45454545454545453</v>
      </c>
      <c r="F205" s="17">
        <v>1</v>
      </c>
      <c r="G205" s="17"/>
      <c r="H205" s="17"/>
      <c r="I205" s="17">
        <v>0.72727272727272729</v>
      </c>
      <c r="J205" s="15" t="s">
        <v>195</v>
      </c>
    </row>
    <row r="206" spans="2:10" x14ac:dyDescent="0.35">
      <c r="B206" s="15" t="s">
        <v>69</v>
      </c>
      <c r="C206" s="15" t="s">
        <v>9</v>
      </c>
      <c r="D206" s="15" t="s">
        <v>43</v>
      </c>
      <c r="E206" s="17">
        <v>0.36363636363636365</v>
      </c>
      <c r="F206" s="17">
        <v>1</v>
      </c>
      <c r="G206" s="17"/>
      <c r="H206" s="17"/>
      <c r="I206" s="17">
        <v>0.68181818181818188</v>
      </c>
      <c r="J206" s="15" t="s">
        <v>195</v>
      </c>
    </row>
    <row r="207" spans="2:10" x14ac:dyDescent="0.35">
      <c r="B207" s="15" t="s">
        <v>70</v>
      </c>
      <c r="C207" s="15" t="s">
        <v>9</v>
      </c>
      <c r="D207" s="15" t="s">
        <v>23</v>
      </c>
      <c r="E207" s="17">
        <v>0.86363636363636365</v>
      </c>
      <c r="F207" s="17">
        <v>1</v>
      </c>
      <c r="G207" s="17"/>
      <c r="H207" s="17"/>
      <c r="I207" s="17">
        <v>0.93181818181818188</v>
      </c>
      <c r="J207" s="15" t="s">
        <v>195</v>
      </c>
    </row>
    <row r="208" spans="2:10" x14ac:dyDescent="0.35">
      <c r="B208" s="15" t="s">
        <v>71</v>
      </c>
      <c r="C208" s="15" t="s">
        <v>9</v>
      </c>
      <c r="D208" s="15" t="s">
        <v>23</v>
      </c>
      <c r="E208" s="17">
        <v>1</v>
      </c>
      <c r="F208" s="17">
        <v>1</v>
      </c>
      <c r="G208" s="17"/>
      <c r="H208" s="17"/>
      <c r="I208" s="17">
        <v>1</v>
      </c>
      <c r="J208" s="15" t="s">
        <v>195</v>
      </c>
    </row>
    <row r="209" spans="2:10" x14ac:dyDescent="0.35">
      <c r="B209" s="15" t="s">
        <v>72</v>
      </c>
      <c r="C209" s="15" t="s">
        <v>9</v>
      </c>
      <c r="D209" s="15" t="s">
        <v>23</v>
      </c>
      <c r="E209" s="17">
        <v>1</v>
      </c>
      <c r="F209" s="17">
        <v>1</v>
      </c>
      <c r="G209" s="17"/>
      <c r="H209" s="17"/>
      <c r="I209" s="17">
        <v>1</v>
      </c>
      <c r="J209" s="15" t="s">
        <v>195</v>
      </c>
    </row>
    <row r="210" spans="2:10" x14ac:dyDescent="0.35">
      <c r="B210" s="15" t="s">
        <v>73</v>
      </c>
      <c r="C210" s="15" t="s">
        <v>74</v>
      </c>
      <c r="D210" s="15" t="s">
        <v>30</v>
      </c>
      <c r="E210" s="17">
        <v>1</v>
      </c>
      <c r="F210" s="17">
        <v>1</v>
      </c>
      <c r="G210" s="17"/>
      <c r="H210" s="17"/>
      <c r="I210" s="17">
        <v>1</v>
      </c>
      <c r="J210" s="15" t="s">
        <v>195</v>
      </c>
    </row>
    <row r="211" spans="2:10" x14ac:dyDescent="0.35">
      <c r="B211" s="15" t="s">
        <v>75</v>
      </c>
      <c r="C211" s="15" t="s">
        <v>74</v>
      </c>
      <c r="D211" s="15" t="s">
        <v>30</v>
      </c>
      <c r="E211" s="17">
        <v>1</v>
      </c>
      <c r="F211" s="17">
        <v>1</v>
      </c>
      <c r="G211" s="17"/>
      <c r="H211" s="17"/>
      <c r="I211" s="17">
        <v>1</v>
      </c>
      <c r="J211" s="15" t="s">
        <v>195</v>
      </c>
    </row>
    <row r="212" spans="2:10" x14ac:dyDescent="0.35">
      <c r="B212" s="15" t="s">
        <v>76</v>
      </c>
      <c r="C212" s="15" t="s">
        <v>74</v>
      </c>
      <c r="D212" s="15" t="s">
        <v>30</v>
      </c>
      <c r="E212" s="17">
        <v>1</v>
      </c>
      <c r="F212" s="17">
        <v>1</v>
      </c>
      <c r="G212" s="17"/>
      <c r="H212" s="17"/>
      <c r="I212" s="17">
        <v>1</v>
      </c>
      <c r="J212" s="15" t="s">
        <v>195</v>
      </c>
    </row>
    <row r="213" spans="2:10" x14ac:dyDescent="0.35">
      <c r="B213" s="15" t="s">
        <v>77</v>
      </c>
      <c r="C213" s="15" t="s">
        <v>74</v>
      </c>
      <c r="D213" s="15" t="s">
        <v>30</v>
      </c>
      <c r="E213" s="17">
        <v>1</v>
      </c>
      <c r="F213" s="17">
        <v>1</v>
      </c>
      <c r="G213" s="17"/>
      <c r="H213" s="17"/>
      <c r="I213" s="17">
        <v>1</v>
      </c>
      <c r="J213" s="15" t="s">
        <v>195</v>
      </c>
    </row>
    <row r="214" spans="2:10" x14ac:dyDescent="0.35">
      <c r="B214" s="15" t="s">
        <v>78</v>
      </c>
      <c r="C214" s="15" t="s">
        <v>9</v>
      </c>
      <c r="D214" s="15" t="s">
        <v>23</v>
      </c>
      <c r="E214" s="17">
        <v>1</v>
      </c>
      <c r="F214" s="17">
        <v>1</v>
      </c>
      <c r="G214" s="17"/>
      <c r="H214" s="17"/>
      <c r="I214" s="17">
        <v>1</v>
      </c>
      <c r="J214" s="15" t="s">
        <v>195</v>
      </c>
    </row>
    <row r="215" spans="2:10" x14ac:dyDescent="0.35">
      <c r="B215" s="15" t="s">
        <v>79</v>
      </c>
      <c r="C215" s="15" t="s">
        <v>9</v>
      </c>
      <c r="D215" s="15" t="s">
        <v>43</v>
      </c>
      <c r="E215" s="17">
        <v>1</v>
      </c>
      <c r="F215" s="17">
        <v>1</v>
      </c>
      <c r="G215" s="17"/>
      <c r="H215" s="17"/>
      <c r="I215" s="17">
        <v>1</v>
      </c>
      <c r="J215" s="15" t="s">
        <v>195</v>
      </c>
    </row>
    <row r="216" spans="2:10" x14ac:dyDescent="0.35">
      <c r="B216" s="15" t="s">
        <v>80</v>
      </c>
      <c r="C216" s="15" t="s">
        <v>9</v>
      </c>
      <c r="D216" s="15" t="s">
        <v>57</v>
      </c>
      <c r="E216" s="17">
        <v>0.59090909090909094</v>
      </c>
      <c r="F216" s="17">
        <v>1</v>
      </c>
      <c r="G216" s="17"/>
      <c r="H216" s="17"/>
      <c r="I216" s="17">
        <v>0.79545454545454541</v>
      </c>
      <c r="J216" s="15" t="s">
        <v>195</v>
      </c>
    </row>
    <row r="217" spans="2:10" x14ac:dyDescent="0.35">
      <c r="B217" s="15" t="s">
        <v>81</v>
      </c>
      <c r="C217" s="15" t="s">
        <v>9</v>
      </c>
      <c r="D217" s="15" t="s">
        <v>57</v>
      </c>
      <c r="E217" s="17">
        <v>0.4</v>
      </c>
      <c r="F217" s="17">
        <v>1</v>
      </c>
      <c r="G217" s="17"/>
      <c r="H217" s="17"/>
      <c r="I217" s="17">
        <v>0.7</v>
      </c>
      <c r="J217" s="15" t="s">
        <v>195</v>
      </c>
    </row>
    <row r="218" spans="2:10" x14ac:dyDescent="0.35">
      <c r="B218" s="15" t="s">
        <v>82</v>
      </c>
      <c r="C218" s="15" t="s">
        <v>9</v>
      </c>
      <c r="D218" s="15" t="s">
        <v>26</v>
      </c>
      <c r="E218" s="17">
        <v>0.4</v>
      </c>
      <c r="F218" s="17">
        <v>1</v>
      </c>
      <c r="G218" s="17"/>
      <c r="H218" s="17"/>
      <c r="I218" s="17">
        <v>0.7</v>
      </c>
      <c r="J218" s="15" t="s">
        <v>195</v>
      </c>
    </row>
    <row r="219" spans="2:10" x14ac:dyDescent="0.35">
      <c r="B219" s="15" t="s">
        <v>83</v>
      </c>
      <c r="C219" s="15" t="s">
        <v>84</v>
      </c>
      <c r="D219" s="15" t="s">
        <v>30</v>
      </c>
      <c r="E219" s="17">
        <v>0.4</v>
      </c>
      <c r="F219" s="17">
        <v>1</v>
      </c>
      <c r="G219" s="17"/>
      <c r="H219" s="17"/>
      <c r="I219" s="17">
        <v>0.7</v>
      </c>
      <c r="J219" s="15" t="s">
        <v>195</v>
      </c>
    </row>
    <row r="220" spans="2:10" x14ac:dyDescent="0.35">
      <c r="B220" s="15" t="s">
        <v>85</v>
      </c>
      <c r="C220" s="15" t="s">
        <v>84</v>
      </c>
      <c r="D220" s="15" t="s">
        <v>30</v>
      </c>
      <c r="E220" s="17">
        <v>0.4</v>
      </c>
      <c r="F220" s="17">
        <v>1</v>
      </c>
      <c r="G220" s="17"/>
      <c r="H220" s="17"/>
      <c r="I220" s="17">
        <v>0.7</v>
      </c>
      <c r="J220" s="15" t="s">
        <v>195</v>
      </c>
    </row>
    <row r="221" spans="2:10" x14ac:dyDescent="0.35">
      <c r="B221" s="15" t="s">
        <v>86</v>
      </c>
      <c r="C221" s="15" t="s">
        <v>84</v>
      </c>
      <c r="D221" s="15" t="s">
        <v>30</v>
      </c>
      <c r="E221" s="17">
        <v>1</v>
      </c>
      <c r="F221" s="17">
        <v>1</v>
      </c>
      <c r="G221" s="17"/>
      <c r="H221" s="17"/>
      <c r="I221" s="17">
        <v>1</v>
      </c>
      <c r="J221" s="15" t="s">
        <v>195</v>
      </c>
    </row>
    <row r="222" spans="2:10" x14ac:dyDescent="0.35">
      <c r="B222" s="15" t="s">
        <v>87</v>
      </c>
      <c r="C222" s="15" t="s">
        <v>84</v>
      </c>
      <c r="D222" s="15" t="s">
        <v>30</v>
      </c>
      <c r="E222" s="17">
        <v>1</v>
      </c>
      <c r="F222" s="17">
        <v>1</v>
      </c>
      <c r="G222" s="17"/>
      <c r="H222" s="17"/>
      <c r="I222" s="17">
        <v>1</v>
      </c>
      <c r="J222" s="15" t="s">
        <v>195</v>
      </c>
    </row>
    <row r="223" spans="2:10" x14ac:dyDescent="0.35">
      <c r="B223" s="15" t="s">
        <v>88</v>
      </c>
      <c r="C223" s="15" t="s">
        <v>84</v>
      </c>
      <c r="D223" s="15" t="s">
        <v>30</v>
      </c>
      <c r="E223" s="17">
        <v>1</v>
      </c>
      <c r="F223" s="17">
        <v>1</v>
      </c>
      <c r="G223" s="17"/>
      <c r="H223" s="17"/>
      <c r="I223" s="17">
        <v>1</v>
      </c>
      <c r="J223" s="15" t="s">
        <v>195</v>
      </c>
    </row>
    <row r="224" spans="2:10" x14ac:dyDescent="0.35">
      <c r="B224" s="15" t="s">
        <v>91</v>
      </c>
      <c r="C224" s="15" t="s">
        <v>9</v>
      </c>
      <c r="D224" s="15" t="s">
        <v>18</v>
      </c>
      <c r="E224" s="17">
        <v>0.85</v>
      </c>
      <c r="F224" s="17">
        <v>1</v>
      </c>
      <c r="G224" s="17"/>
      <c r="H224" s="17"/>
      <c r="I224" s="17">
        <v>0.92500000000000004</v>
      </c>
      <c r="J224" s="15" t="s">
        <v>195</v>
      </c>
    </row>
    <row r="225" spans="2:10" x14ac:dyDescent="0.35">
      <c r="B225" s="15" t="s">
        <v>92</v>
      </c>
      <c r="C225" s="15" t="s">
        <v>9</v>
      </c>
      <c r="D225" s="15" t="s">
        <v>93</v>
      </c>
      <c r="E225" s="17">
        <v>1</v>
      </c>
      <c r="F225" s="17">
        <v>1</v>
      </c>
      <c r="G225" s="17"/>
      <c r="H225" s="17"/>
      <c r="I225" s="17">
        <v>1</v>
      </c>
      <c r="J225" s="15" t="s">
        <v>195</v>
      </c>
    </row>
    <row r="226" spans="2:10" x14ac:dyDescent="0.35">
      <c r="B226" s="15" t="s">
        <v>94</v>
      </c>
      <c r="C226" s="15" t="s">
        <v>9</v>
      </c>
      <c r="D226" s="15" t="s">
        <v>95</v>
      </c>
      <c r="E226" s="17">
        <v>1</v>
      </c>
      <c r="F226" s="17">
        <v>1</v>
      </c>
      <c r="G226" s="17"/>
      <c r="H226" s="17"/>
      <c r="I226" s="17">
        <v>1</v>
      </c>
      <c r="J226" s="15" t="s">
        <v>195</v>
      </c>
    </row>
    <row r="227" spans="2:10" x14ac:dyDescent="0.35">
      <c r="B227" s="15" t="s">
        <v>96</v>
      </c>
      <c r="C227" s="15" t="s">
        <v>9</v>
      </c>
      <c r="D227" s="15" t="s">
        <v>16</v>
      </c>
      <c r="E227" s="17">
        <v>0.8</v>
      </c>
      <c r="F227" s="17">
        <v>1</v>
      </c>
      <c r="G227" s="17"/>
      <c r="H227" s="17"/>
      <c r="I227" s="17">
        <v>0.9</v>
      </c>
      <c r="J227" s="15" t="s">
        <v>195</v>
      </c>
    </row>
    <row r="228" spans="2:10" x14ac:dyDescent="0.35">
      <c r="B228" s="15" t="s">
        <v>97</v>
      </c>
      <c r="C228" s="15" t="s">
        <v>9</v>
      </c>
      <c r="D228" s="15" t="s">
        <v>26</v>
      </c>
      <c r="E228" s="17">
        <v>0.77777777777777779</v>
      </c>
      <c r="F228" s="17">
        <v>1</v>
      </c>
      <c r="G228" s="17"/>
      <c r="H228" s="17"/>
      <c r="I228" s="17">
        <v>0.88888888888888884</v>
      </c>
      <c r="J228" s="15" t="s">
        <v>195</v>
      </c>
    </row>
    <row r="229" spans="2:10" x14ac:dyDescent="0.35">
      <c r="B229" s="15" t="s">
        <v>98</v>
      </c>
      <c r="C229" s="15" t="s">
        <v>9</v>
      </c>
      <c r="D229" s="15" t="s">
        <v>13</v>
      </c>
      <c r="E229" s="17">
        <v>0.77777777777777779</v>
      </c>
      <c r="F229" s="17">
        <v>1</v>
      </c>
      <c r="G229" s="17"/>
      <c r="H229" s="17"/>
      <c r="I229" s="17">
        <v>0.88888888888888884</v>
      </c>
      <c r="J229" s="15" t="s">
        <v>195</v>
      </c>
    </row>
    <row r="230" spans="2:10" x14ac:dyDescent="0.35">
      <c r="B230" s="15" t="s">
        <v>99</v>
      </c>
      <c r="C230" s="15" t="s">
        <v>9</v>
      </c>
      <c r="D230" s="15" t="s">
        <v>18</v>
      </c>
      <c r="E230" s="17">
        <v>0.4</v>
      </c>
      <c r="F230" s="17">
        <v>1</v>
      </c>
      <c r="G230" s="17"/>
      <c r="H230" s="17"/>
      <c r="I230" s="17">
        <v>0.7</v>
      </c>
      <c r="J230" s="15" t="s">
        <v>195</v>
      </c>
    </row>
    <row r="231" spans="2:10" x14ac:dyDescent="0.35">
      <c r="B231" s="15" t="s">
        <v>100</v>
      </c>
      <c r="C231" s="15" t="s">
        <v>9</v>
      </c>
      <c r="D231" s="15" t="s">
        <v>43</v>
      </c>
      <c r="E231" s="17">
        <v>1</v>
      </c>
      <c r="F231" s="17">
        <v>1</v>
      </c>
      <c r="G231" s="17"/>
      <c r="H231" s="17"/>
      <c r="I231" s="17">
        <v>1</v>
      </c>
      <c r="J231" s="15" t="s">
        <v>195</v>
      </c>
    </row>
    <row r="232" spans="2:10" x14ac:dyDescent="0.35">
      <c r="B232" s="15" t="s">
        <v>101</v>
      </c>
      <c r="C232" s="15" t="s">
        <v>9</v>
      </c>
      <c r="D232" s="15" t="s">
        <v>23</v>
      </c>
      <c r="E232" s="17">
        <v>1</v>
      </c>
      <c r="F232" s="17">
        <v>1</v>
      </c>
      <c r="G232" s="17"/>
      <c r="H232" s="17"/>
      <c r="I232" s="17">
        <v>1</v>
      </c>
      <c r="J232" s="15" t="s">
        <v>195</v>
      </c>
    </row>
    <row r="233" spans="2:10" x14ac:dyDescent="0.35">
      <c r="B233" s="15" t="s">
        <v>103</v>
      </c>
      <c r="C233" s="15" t="s">
        <v>9</v>
      </c>
      <c r="D233" s="15" t="s">
        <v>26</v>
      </c>
      <c r="E233" s="17">
        <v>0.44444444444444442</v>
      </c>
      <c r="F233" s="17">
        <v>1</v>
      </c>
      <c r="G233" s="17"/>
      <c r="H233" s="17"/>
      <c r="I233" s="17">
        <v>0.72222222222222221</v>
      </c>
      <c r="J233" s="15" t="s">
        <v>195</v>
      </c>
    </row>
    <row r="234" spans="2:10" x14ac:dyDescent="0.35">
      <c r="B234" s="15" t="s">
        <v>104</v>
      </c>
      <c r="C234" s="15" t="s">
        <v>9</v>
      </c>
      <c r="D234" s="15" t="s">
        <v>48</v>
      </c>
      <c r="E234" s="17">
        <v>0.4</v>
      </c>
      <c r="F234" s="17">
        <v>1</v>
      </c>
      <c r="G234" s="17"/>
      <c r="H234" s="17"/>
      <c r="I234" s="17">
        <v>0.7</v>
      </c>
      <c r="J234" s="15" t="s">
        <v>195</v>
      </c>
    </row>
    <row r="235" spans="2:10" x14ac:dyDescent="0.35">
      <c r="B235" s="15" t="s">
        <v>105</v>
      </c>
      <c r="C235" s="15" t="s">
        <v>9</v>
      </c>
      <c r="D235" s="15" t="s">
        <v>26</v>
      </c>
      <c r="E235" s="17">
        <v>0.72727272727272729</v>
      </c>
      <c r="F235" s="17">
        <v>1</v>
      </c>
      <c r="G235" s="17"/>
      <c r="H235" s="17"/>
      <c r="I235" s="17">
        <v>0.86363636363636365</v>
      </c>
      <c r="J235" s="15" t="s">
        <v>195</v>
      </c>
    </row>
    <row r="236" spans="2:10" x14ac:dyDescent="0.35">
      <c r="B236" s="15" t="s">
        <v>106</v>
      </c>
      <c r="C236" s="15" t="s">
        <v>9</v>
      </c>
      <c r="D236" s="15" t="s">
        <v>26</v>
      </c>
      <c r="E236" s="17">
        <v>1</v>
      </c>
      <c r="F236" s="17">
        <v>1</v>
      </c>
      <c r="G236" s="17"/>
      <c r="H236" s="17"/>
      <c r="I236" s="17">
        <v>1</v>
      </c>
      <c r="J236" s="15" t="s">
        <v>195</v>
      </c>
    </row>
    <row r="237" spans="2:10" x14ac:dyDescent="0.35">
      <c r="B237" s="15" t="s">
        <v>108</v>
      </c>
      <c r="C237" s="15" t="s">
        <v>9</v>
      </c>
      <c r="D237" s="15" t="s">
        <v>23</v>
      </c>
      <c r="E237" s="17">
        <v>0.4</v>
      </c>
      <c r="F237" s="17">
        <v>1</v>
      </c>
      <c r="G237" s="17"/>
      <c r="H237" s="17"/>
      <c r="I237" s="17">
        <v>0.7</v>
      </c>
      <c r="J237" s="15" t="s">
        <v>195</v>
      </c>
    </row>
    <row r="238" spans="2:10" x14ac:dyDescent="0.35">
      <c r="B238" s="15" t="s">
        <v>110</v>
      </c>
      <c r="C238" s="15" t="s">
        <v>9</v>
      </c>
      <c r="D238" s="15" t="s">
        <v>43</v>
      </c>
      <c r="E238" s="17">
        <v>0.44444444444444442</v>
      </c>
      <c r="F238" s="17">
        <v>1</v>
      </c>
      <c r="G238" s="17"/>
      <c r="H238" s="17"/>
      <c r="I238" s="17">
        <v>0.72222222222222221</v>
      </c>
      <c r="J238" s="15" t="s">
        <v>195</v>
      </c>
    </row>
    <row r="239" spans="2:10" x14ac:dyDescent="0.35">
      <c r="B239" s="15" t="s">
        <v>111</v>
      </c>
      <c r="C239" s="15" t="s">
        <v>9</v>
      </c>
      <c r="D239" s="15" t="s">
        <v>95</v>
      </c>
      <c r="E239" s="17">
        <v>1</v>
      </c>
      <c r="F239" s="17">
        <v>1</v>
      </c>
      <c r="G239" s="17"/>
      <c r="H239" s="17"/>
      <c r="I239" s="17">
        <v>1</v>
      </c>
      <c r="J239" s="15" t="s">
        <v>195</v>
      </c>
    </row>
    <row r="240" spans="2:10" x14ac:dyDescent="0.35">
      <c r="B240" s="15" t="s">
        <v>112</v>
      </c>
      <c r="C240" s="15" t="s">
        <v>9</v>
      </c>
      <c r="D240" s="15" t="s">
        <v>18</v>
      </c>
      <c r="E240" s="17">
        <v>0.4</v>
      </c>
      <c r="F240" s="17">
        <v>1</v>
      </c>
      <c r="G240" s="17"/>
      <c r="H240" s="17"/>
      <c r="I240" s="17">
        <v>0.7</v>
      </c>
      <c r="J240" s="15" t="s">
        <v>195</v>
      </c>
    </row>
    <row r="241" spans="2:10" x14ac:dyDescent="0.35">
      <c r="B241" s="15" t="s">
        <v>113</v>
      </c>
      <c r="C241" s="15" t="s">
        <v>9</v>
      </c>
      <c r="D241" s="15" t="s">
        <v>114</v>
      </c>
      <c r="E241" s="17">
        <v>0.44444444444444442</v>
      </c>
      <c r="F241" s="17">
        <v>1</v>
      </c>
      <c r="G241" s="17"/>
      <c r="H241" s="17"/>
      <c r="I241" s="17">
        <v>0.72222222222222221</v>
      </c>
      <c r="J241" s="15" t="s">
        <v>195</v>
      </c>
    </row>
    <row r="242" spans="2:10" x14ac:dyDescent="0.35">
      <c r="B242" s="15" t="s">
        <v>115</v>
      </c>
      <c r="C242" s="15" t="s">
        <v>9</v>
      </c>
      <c r="D242" s="15" t="s">
        <v>26</v>
      </c>
      <c r="E242" s="17">
        <v>1</v>
      </c>
      <c r="F242" s="17">
        <v>1</v>
      </c>
      <c r="G242" s="17"/>
      <c r="H242" s="17"/>
      <c r="I242" s="17">
        <v>1</v>
      </c>
      <c r="J242" s="15" t="s">
        <v>195</v>
      </c>
    </row>
    <row r="243" spans="2:10" x14ac:dyDescent="0.35">
      <c r="B243" s="15" t="s">
        <v>116</v>
      </c>
      <c r="C243" s="15" t="s">
        <v>9</v>
      </c>
      <c r="D243" s="15" t="s">
        <v>43</v>
      </c>
      <c r="E243" s="17">
        <v>0.9</v>
      </c>
      <c r="F243" s="17">
        <v>1</v>
      </c>
      <c r="G243" s="17"/>
      <c r="H243" s="17"/>
      <c r="I243" s="17">
        <v>0.95</v>
      </c>
      <c r="J243" s="15" t="s">
        <v>195</v>
      </c>
    </row>
    <row r="244" spans="2:10" x14ac:dyDescent="0.35">
      <c r="B244" s="15" t="s">
        <v>117</v>
      </c>
      <c r="C244" s="15" t="s">
        <v>9</v>
      </c>
      <c r="D244" s="15" t="s">
        <v>23</v>
      </c>
      <c r="E244" s="17">
        <v>0.4</v>
      </c>
      <c r="F244" s="17">
        <v>1</v>
      </c>
      <c r="G244" s="17"/>
      <c r="H244" s="17"/>
      <c r="I244" s="17">
        <v>0.7</v>
      </c>
      <c r="J244" s="15" t="s">
        <v>195</v>
      </c>
    </row>
    <row r="245" spans="2:10" x14ac:dyDescent="0.35">
      <c r="B245" s="15" t="s">
        <v>118</v>
      </c>
      <c r="C245" s="15" t="s">
        <v>9</v>
      </c>
      <c r="D245" s="15" t="s">
        <v>119</v>
      </c>
      <c r="E245" s="17">
        <v>0.2</v>
      </c>
      <c r="F245" s="17">
        <v>1</v>
      </c>
      <c r="G245" s="17"/>
      <c r="H245" s="17"/>
      <c r="I245" s="17">
        <v>0.6</v>
      </c>
      <c r="J245" s="15" t="s">
        <v>195</v>
      </c>
    </row>
    <row r="246" spans="2:10" x14ac:dyDescent="0.35">
      <c r="B246" s="15" t="s">
        <v>120</v>
      </c>
      <c r="C246" s="15" t="s">
        <v>9</v>
      </c>
      <c r="D246" s="15" t="s">
        <v>114</v>
      </c>
      <c r="E246" s="17">
        <v>0.4</v>
      </c>
      <c r="F246" s="17">
        <v>1</v>
      </c>
      <c r="G246" s="17"/>
      <c r="H246" s="17"/>
      <c r="I246" s="17">
        <v>0.7</v>
      </c>
      <c r="J246" s="15" t="s">
        <v>195</v>
      </c>
    </row>
    <row r="247" spans="2:10" x14ac:dyDescent="0.35">
      <c r="B247" s="15" t="s">
        <v>121</v>
      </c>
      <c r="C247" s="15" t="s">
        <v>9</v>
      </c>
      <c r="D247" s="15" t="s">
        <v>114</v>
      </c>
      <c r="E247" s="17">
        <v>0.6</v>
      </c>
      <c r="F247" s="17">
        <v>1</v>
      </c>
      <c r="G247" s="17"/>
      <c r="H247" s="17"/>
      <c r="I247" s="17">
        <v>0.8</v>
      </c>
      <c r="J247" s="15" t="s">
        <v>195</v>
      </c>
    </row>
    <row r="248" spans="2:10" x14ac:dyDescent="0.35">
      <c r="B248" s="15" t="s">
        <v>122</v>
      </c>
      <c r="C248" s="15" t="s">
        <v>9</v>
      </c>
      <c r="D248" s="15" t="s">
        <v>114</v>
      </c>
      <c r="E248" s="17">
        <v>0.4</v>
      </c>
      <c r="F248" s="17">
        <v>1</v>
      </c>
      <c r="G248" s="17"/>
      <c r="H248" s="17"/>
      <c r="I248" s="17">
        <v>0.7</v>
      </c>
      <c r="J248" s="15" t="s">
        <v>195</v>
      </c>
    </row>
    <row r="249" spans="2:10" x14ac:dyDescent="0.35">
      <c r="B249" s="15" t="s">
        <v>123</v>
      </c>
      <c r="C249" s="15" t="s">
        <v>9</v>
      </c>
      <c r="D249" s="15" t="s">
        <v>23</v>
      </c>
      <c r="E249" s="17">
        <v>0.55555555555555558</v>
      </c>
      <c r="F249" s="17">
        <v>1</v>
      </c>
      <c r="G249" s="17"/>
      <c r="H249" s="17"/>
      <c r="I249" s="17">
        <v>0.77777777777777779</v>
      </c>
      <c r="J249" s="15" t="s">
        <v>195</v>
      </c>
    </row>
    <row r="250" spans="2:10" x14ac:dyDescent="0.35">
      <c r="B250" s="15" t="s">
        <v>124</v>
      </c>
      <c r="C250" s="15" t="s">
        <v>9</v>
      </c>
      <c r="D250" s="15" t="s">
        <v>119</v>
      </c>
      <c r="E250" s="17">
        <v>0.4</v>
      </c>
      <c r="F250" s="17">
        <v>1</v>
      </c>
      <c r="G250" s="17"/>
      <c r="H250" s="17"/>
      <c r="I250" s="17">
        <v>0.7</v>
      </c>
      <c r="J250" s="15" t="s">
        <v>195</v>
      </c>
    </row>
    <row r="251" spans="2:10" x14ac:dyDescent="0.35">
      <c r="B251" s="15" t="s">
        <v>125</v>
      </c>
      <c r="C251" s="15" t="s">
        <v>9</v>
      </c>
      <c r="D251" s="15" t="s">
        <v>43</v>
      </c>
      <c r="E251" s="17">
        <v>1</v>
      </c>
      <c r="F251" s="17">
        <v>1</v>
      </c>
      <c r="G251" s="17"/>
      <c r="H251" s="17"/>
      <c r="I251" s="17">
        <v>1</v>
      </c>
      <c r="J251" s="15" t="s">
        <v>195</v>
      </c>
    </row>
    <row r="252" spans="2:10" x14ac:dyDescent="0.35">
      <c r="B252" s="15" t="s">
        <v>126</v>
      </c>
      <c r="C252" s="15" t="s">
        <v>9</v>
      </c>
      <c r="D252" s="15" t="s">
        <v>54</v>
      </c>
      <c r="E252" s="17">
        <v>1</v>
      </c>
      <c r="F252" s="17">
        <v>1</v>
      </c>
      <c r="G252" s="17"/>
      <c r="H252" s="17"/>
      <c r="I252" s="17">
        <v>1</v>
      </c>
      <c r="J252" s="15" t="s">
        <v>195</v>
      </c>
    </row>
    <row r="253" spans="2:10" x14ac:dyDescent="0.35">
      <c r="B253" s="15" t="s">
        <v>127</v>
      </c>
      <c r="C253" s="15" t="s">
        <v>9</v>
      </c>
      <c r="D253" s="15" t="s">
        <v>26</v>
      </c>
      <c r="E253" s="17">
        <v>0.55000000000000004</v>
      </c>
      <c r="F253" s="17">
        <v>1</v>
      </c>
      <c r="G253" s="17"/>
      <c r="H253" s="17"/>
      <c r="I253" s="17">
        <v>0.77500000000000002</v>
      </c>
      <c r="J253" s="15" t="s">
        <v>195</v>
      </c>
    </row>
    <row r="254" spans="2:10" x14ac:dyDescent="0.35">
      <c r="B254" s="15" t="s">
        <v>129</v>
      </c>
      <c r="C254" s="15" t="s">
        <v>130</v>
      </c>
      <c r="D254" s="15" t="s">
        <v>30</v>
      </c>
      <c r="E254" s="17">
        <v>1</v>
      </c>
      <c r="F254" s="17">
        <v>1</v>
      </c>
      <c r="G254" s="17"/>
      <c r="H254" s="17"/>
      <c r="I254" s="17">
        <v>1</v>
      </c>
      <c r="J254" s="15" t="s">
        <v>195</v>
      </c>
    </row>
    <row r="255" spans="2:10" x14ac:dyDescent="0.35">
      <c r="B255" s="15" t="s">
        <v>131</v>
      </c>
      <c r="C255" s="15" t="s">
        <v>9</v>
      </c>
      <c r="D255" s="15" t="s">
        <v>54</v>
      </c>
      <c r="E255" s="17">
        <v>1</v>
      </c>
      <c r="F255" s="17">
        <v>1</v>
      </c>
      <c r="G255" s="17"/>
      <c r="H255" s="17"/>
      <c r="I255" s="17">
        <v>1</v>
      </c>
      <c r="J255" s="15" t="s">
        <v>195</v>
      </c>
    </row>
    <row r="256" spans="2:10" x14ac:dyDescent="0.35">
      <c r="B256" s="15" t="s">
        <v>132</v>
      </c>
      <c r="C256" s="15" t="s">
        <v>9</v>
      </c>
      <c r="D256" s="15" t="s">
        <v>54</v>
      </c>
      <c r="E256" s="17">
        <v>0.45454545454545453</v>
      </c>
      <c r="F256" s="17">
        <v>1</v>
      </c>
      <c r="G256" s="17"/>
      <c r="H256" s="17"/>
      <c r="I256" s="17">
        <v>0.72727272727272729</v>
      </c>
      <c r="J256" s="15" t="s">
        <v>195</v>
      </c>
    </row>
    <row r="257" spans="2:10" x14ac:dyDescent="0.35">
      <c r="B257" s="15" t="s">
        <v>133</v>
      </c>
      <c r="C257" s="15" t="s">
        <v>9</v>
      </c>
      <c r="D257" s="15" t="s">
        <v>43</v>
      </c>
      <c r="E257" s="17">
        <v>0.55555555555555558</v>
      </c>
      <c r="F257" s="17">
        <v>1</v>
      </c>
      <c r="G257" s="17"/>
      <c r="H257" s="17"/>
      <c r="I257" s="17">
        <v>0.77777777777777779</v>
      </c>
      <c r="J257" s="15" t="s">
        <v>195</v>
      </c>
    </row>
    <row r="258" spans="2:10" x14ac:dyDescent="0.35">
      <c r="B258" s="15" t="s">
        <v>134</v>
      </c>
      <c r="C258" s="15" t="s">
        <v>9</v>
      </c>
      <c r="D258" s="15" t="s">
        <v>10</v>
      </c>
      <c r="E258" s="17">
        <v>0.6</v>
      </c>
      <c r="F258" s="17">
        <v>1</v>
      </c>
      <c r="G258" s="17"/>
      <c r="H258" s="17"/>
      <c r="I258" s="17">
        <v>0.8</v>
      </c>
      <c r="J258" s="15" t="s">
        <v>195</v>
      </c>
    </row>
    <row r="259" spans="2:10" x14ac:dyDescent="0.35">
      <c r="B259" s="15" t="s">
        <v>135</v>
      </c>
      <c r="C259" s="15" t="s">
        <v>9</v>
      </c>
      <c r="D259" s="15" t="s">
        <v>43</v>
      </c>
      <c r="E259" s="17">
        <v>0.44444444444444442</v>
      </c>
      <c r="F259" s="17">
        <v>0.66666666666666663</v>
      </c>
      <c r="G259" s="17"/>
      <c r="H259" s="17"/>
      <c r="I259" s="17">
        <v>0.55555555555555558</v>
      </c>
      <c r="J259" s="15" t="s">
        <v>195</v>
      </c>
    </row>
    <row r="260" spans="2:10" x14ac:dyDescent="0.35">
      <c r="B260" s="15" t="s">
        <v>136</v>
      </c>
      <c r="C260" s="15" t="s">
        <v>9</v>
      </c>
      <c r="D260" s="15" t="s">
        <v>119</v>
      </c>
      <c r="E260" s="17">
        <v>0.4</v>
      </c>
      <c r="F260" s="17">
        <v>1</v>
      </c>
      <c r="G260" s="17"/>
      <c r="H260" s="17"/>
      <c r="I260" s="17">
        <v>0.7</v>
      </c>
      <c r="J260" s="15" t="s">
        <v>195</v>
      </c>
    </row>
    <row r="261" spans="2:10" x14ac:dyDescent="0.35">
      <c r="B261" s="15" t="s">
        <v>137</v>
      </c>
      <c r="C261" s="15" t="s">
        <v>9</v>
      </c>
      <c r="D261" s="15" t="s">
        <v>95</v>
      </c>
      <c r="E261" s="17">
        <v>1</v>
      </c>
      <c r="F261" s="17">
        <v>1</v>
      </c>
      <c r="G261" s="17"/>
      <c r="H261" s="17"/>
      <c r="I261" s="17">
        <v>1</v>
      </c>
      <c r="J261" s="15" t="s">
        <v>195</v>
      </c>
    </row>
    <row r="262" spans="2:10" x14ac:dyDescent="0.35">
      <c r="B262" s="15" t="s">
        <v>138</v>
      </c>
      <c r="C262" s="15" t="s">
        <v>9</v>
      </c>
      <c r="D262" s="15" t="s">
        <v>13</v>
      </c>
      <c r="E262" s="17">
        <v>1</v>
      </c>
      <c r="F262" s="17">
        <v>0.75</v>
      </c>
      <c r="G262" s="17"/>
      <c r="H262" s="17"/>
      <c r="I262" s="17">
        <v>0.875</v>
      </c>
      <c r="J262" s="15" t="s">
        <v>195</v>
      </c>
    </row>
    <row r="263" spans="2:10" x14ac:dyDescent="0.35">
      <c r="B263" s="15" t="s">
        <v>139</v>
      </c>
      <c r="C263" s="15" t="s">
        <v>9</v>
      </c>
      <c r="D263" s="15" t="s">
        <v>10</v>
      </c>
      <c r="E263" s="17">
        <v>1</v>
      </c>
      <c r="F263" s="17">
        <v>1</v>
      </c>
      <c r="G263" s="17"/>
      <c r="H263" s="17"/>
      <c r="I263" s="17">
        <v>1</v>
      </c>
      <c r="J263" s="15" t="s">
        <v>195</v>
      </c>
    </row>
    <row r="264" spans="2:10" x14ac:dyDescent="0.35">
      <c r="B264" s="15" t="s">
        <v>140</v>
      </c>
      <c r="C264" s="15" t="s">
        <v>9</v>
      </c>
      <c r="D264" s="15" t="s">
        <v>10</v>
      </c>
      <c r="E264" s="17">
        <v>0.7</v>
      </c>
      <c r="F264" s="17">
        <v>1</v>
      </c>
      <c r="G264" s="17"/>
      <c r="H264" s="17"/>
      <c r="I264" s="17">
        <v>0.85</v>
      </c>
      <c r="J264" s="15" t="s">
        <v>195</v>
      </c>
    </row>
    <row r="265" spans="2:10" x14ac:dyDescent="0.35">
      <c r="B265" s="15" t="s">
        <v>141</v>
      </c>
      <c r="C265" s="15" t="s">
        <v>9</v>
      </c>
      <c r="D265" s="15" t="s">
        <v>114</v>
      </c>
      <c r="E265" s="17">
        <v>0.4</v>
      </c>
      <c r="F265" s="17">
        <v>1</v>
      </c>
      <c r="G265" s="17"/>
      <c r="H265" s="17"/>
      <c r="I265" s="17">
        <v>0.7</v>
      </c>
      <c r="J265" s="15" t="s">
        <v>195</v>
      </c>
    </row>
    <row r="266" spans="2:10" x14ac:dyDescent="0.35">
      <c r="B266" s="15" t="s">
        <v>142</v>
      </c>
      <c r="C266" s="15" t="s">
        <v>9</v>
      </c>
      <c r="D266" s="15" t="s">
        <v>16</v>
      </c>
      <c r="E266" s="17">
        <v>0.55000000000000004</v>
      </c>
      <c r="F266" s="17">
        <v>1</v>
      </c>
      <c r="G266" s="17"/>
      <c r="H266" s="17"/>
      <c r="I266" s="17">
        <v>0.77500000000000002</v>
      </c>
      <c r="J266" s="15" t="s">
        <v>195</v>
      </c>
    </row>
    <row r="267" spans="2:10" x14ac:dyDescent="0.35">
      <c r="B267" s="15" t="s">
        <v>143</v>
      </c>
      <c r="C267" s="15" t="s">
        <v>9</v>
      </c>
      <c r="D267" s="15" t="s">
        <v>13</v>
      </c>
      <c r="E267" s="17">
        <v>1</v>
      </c>
      <c r="F267" s="17">
        <v>1</v>
      </c>
      <c r="G267" s="17"/>
      <c r="H267" s="17"/>
      <c r="I267" s="17">
        <v>1</v>
      </c>
      <c r="J267" s="15" t="s">
        <v>195</v>
      </c>
    </row>
    <row r="268" spans="2:10" x14ac:dyDescent="0.35">
      <c r="B268" s="15" t="s">
        <v>144</v>
      </c>
      <c r="C268" s="15" t="s">
        <v>9</v>
      </c>
      <c r="D268" s="15" t="s">
        <v>114</v>
      </c>
      <c r="E268" s="17">
        <v>0.44444444444444442</v>
      </c>
      <c r="F268" s="17">
        <v>1</v>
      </c>
      <c r="G268" s="17"/>
      <c r="H268" s="17"/>
      <c r="I268" s="17">
        <v>0.72222222222222221</v>
      </c>
      <c r="J268" s="15" t="s">
        <v>195</v>
      </c>
    </row>
    <row r="269" spans="2:10" x14ac:dyDescent="0.35">
      <c r="B269" s="15" t="s">
        <v>145</v>
      </c>
      <c r="C269" s="15" t="s">
        <v>9</v>
      </c>
      <c r="D269" s="15" t="s">
        <v>23</v>
      </c>
      <c r="E269" s="17">
        <v>0.75</v>
      </c>
      <c r="F269" s="17">
        <v>1</v>
      </c>
      <c r="G269" s="17"/>
      <c r="H269" s="17"/>
      <c r="I269" s="17">
        <v>0.875</v>
      </c>
      <c r="J269" s="15" t="s">
        <v>195</v>
      </c>
    </row>
    <row r="270" spans="2:10" x14ac:dyDescent="0.35">
      <c r="B270" s="15" t="s">
        <v>146</v>
      </c>
      <c r="C270" s="15" t="s">
        <v>9</v>
      </c>
      <c r="D270" s="15" t="s">
        <v>23</v>
      </c>
      <c r="E270" s="17">
        <v>0.8</v>
      </c>
      <c r="F270" s="17">
        <v>1</v>
      </c>
      <c r="G270" s="17"/>
      <c r="H270" s="17"/>
      <c r="I270" s="17">
        <v>0.9</v>
      </c>
      <c r="J270" s="15" t="s">
        <v>195</v>
      </c>
    </row>
    <row r="271" spans="2:10" x14ac:dyDescent="0.35">
      <c r="B271" s="15" t="s">
        <v>148</v>
      </c>
      <c r="C271" s="15" t="s">
        <v>9</v>
      </c>
      <c r="D271" s="15" t="s">
        <v>26</v>
      </c>
      <c r="E271" s="17">
        <v>0.77777777777777779</v>
      </c>
      <c r="F271" s="17">
        <v>1</v>
      </c>
      <c r="G271" s="17"/>
      <c r="H271" s="17"/>
      <c r="I271" s="17">
        <v>0.88888888888888884</v>
      </c>
      <c r="J271" s="15" t="s">
        <v>195</v>
      </c>
    </row>
    <row r="272" spans="2:10" x14ac:dyDescent="0.35">
      <c r="B272" s="15" t="s">
        <v>149</v>
      </c>
      <c r="C272" s="15" t="s">
        <v>9</v>
      </c>
      <c r="D272" s="15" t="s">
        <v>119</v>
      </c>
      <c r="E272" s="17">
        <v>0.6</v>
      </c>
      <c r="F272" s="17">
        <v>1</v>
      </c>
      <c r="G272" s="17"/>
      <c r="H272" s="17"/>
      <c r="I272" s="17">
        <v>0.8</v>
      </c>
      <c r="J272" s="15" t="s">
        <v>195</v>
      </c>
    </row>
    <row r="273" spans="2:10" x14ac:dyDescent="0.35">
      <c r="B273" s="15" t="s">
        <v>150</v>
      </c>
      <c r="C273" s="15" t="s">
        <v>9</v>
      </c>
      <c r="D273" s="15" t="s">
        <v>54</v>
      </c>
      <c r="E273" s="17">
        <v>1</v>
      </c>
      <c r="F273" s="17">
        <v>1</v>
      </c>
      <c r="G273" s="17"/>
      <c r="H273" s="17"/>
      <c r="I273" s="17">
        <v>1</v>
      </c>
      <c r="J273" s="15" t="s">
        <v>195</v>
      </c>
    </row>
    <row r="274" spans="2:10" x14ac:dyDescent="0.35">
      <c r="B274" s="15" t="s">
        <v>151</v>
      </c>
      <c r="C274" s="15" t="s">
        <v>9</v>
      </c>
      <c r="D274" s="15" t="s">
        <v>23</v>
      </c>
      <c r="E274" s="17">
        <v>1</v>
      </c>
      <c r="F274" s="17">
        <v>1</v>
      </c>
      <c r="G274" s="17"/>
      <c r="H274" s="17"/>
      <c r="I274" s="17">
        <v>1</v>
      </c>
      <c r="J274" s="15" t="s">
        <v>195</v>
      </c>
    </row>
    <row r="275" spans="2:10" x14ac:dyDescent="0.35">
      <c r="B275" s="15" t="s">
        <v>153</v>
      </c>
      <c r="C275" s="15" t="s">
        <v>9</v>
      </c>
      <c r="D275" s="15" t="s">
        <v>13</v>
      </c>
      <c r="E275" s="17">
        <v>0.7</v>
      </c>
      <c r="F275" s="17">
        <v>1</v>
      </c>
      <c r="G275" s="17"/>
      <c r="H275" s="17"/>
      <c r="I275" s="17">
        <v>0.85</v>
      </c>
      <c r="J275" s="15" t="s">
        <v>195</v>
      </c>
    </row>
    <row r="276" spans="2:10" x14ac:dyDescent="0.35">
      <c r="B276" s="15" t="s">
        <v>154</v>
      </c>
      <c r="C276" s="15" t="s">
        <v>155</v>
      </c>
      <c r="D276" s="15" t="s">
        <v>30</v>
      </c>
      <c r="E276" s="17">
        <v>0.44444444444444442</v>
      </c>
      <c r="F276" s="17">
        <v>1</v>
      </c>
      <c r="G276" s="17"/>
      <c r="H276" s="17"/>
      <c r="I276" s="17">
        <v>0.72222222222222221</v>
      </c>
      <c r="J276" s="15" t="s">
        <v>195</v>
      </c>
    </row>
    <row r="277" spans="2:10" x14ac:dyDescent="0.35">
      <c r="B277" s="15" t="s">
        <v>156</v>
      </c>
      <c r="C277" s="15" t="s">
        <v>155</v>
      </c>
      <c r="D277" s="15" t="s">
        <v>30</v>
      </c>
      <c r="E277" s="17">
        <v>0.4</v>
      </c>
      <c r="F277" s="17">
        <v>1</v>
      </c>
      <c r="G277" s="17"/>
      <c r="H277" s="17"/>
      <c r="I277" s="17">
        <v>0.7</v>
      </c>
      <c r="J277" s="15" t="s">
        <v>195</v>
      </c>
    </row>
    <row r="278" spans="2:10" x14ac:dyDescent="0.35">
      <c r="B278" s="15" t="s">
        <v>157</v>
      </c>
      <c r="C278" s="15" t="s">
        <v>155</v>
      </c>
      <c r="D278" s="15" t="s">
        <v>30</v>
      </c>
      <c r="E278" s="17">
        <v>0.44444444444444442</v>
      </c>
      <c r="F278" s="17">
        <v>1</v>
      </c>
      <c r="G278" s="17"/>
      <c r="H278" s="17"/>
      <c r="I278" s="17">
        <v>0.72222222222222221</v>
      </c>
      <c r="J278" s="15" t="s">
        <v>195</v>
      </c>
    </row>
    <row r="279" spans="2:10" x14ac:dyDescent="0.35">
      <c r="B279" s="15" t="s">
        <v>158</v>
      </c>
      <c r="C279" s="15" t="s">
        <v>155</v>
      </c>
      <c r="D279" s="15" t="s">
        <v>30</v>
      </c>
      <c r="E279" s="17">
        <v>0.4</v>
      </c>
      <c r="F279" s="17">
        <v>1</v>
      </c>
      <c r="G279" s="17"/>
      <c r="H279" s="17"/>
      <c r="I279" s="17">
        <v>0.7</v>
      </c>
      <c r="J279" s="15" t="s">
        <v>195</v>
      </c>
    </row>
    <row r="280" spans="2:10" x14ac:dyDescent="0.35">
      <c r="B280" s="15" t="s">
        <v>160</v>
      </c>
      <c r="C280" s="15" t="s">
        <v>9</v>
      </c>
      <c r="D280" s="15" t="s">
        <v>26</v>
      </c>
      <c r="E280" s="17">
        <v>0.4</v>
      </c>
      <c r="F280" s="17">
        <v>1</v>
      </c>
      <c r="G280" s="17"/>
      <c r="H280" s="17"/>
      <c r="I280" s="17">
        <v>0.7</v>
      </c>
      <c r="J280" s="15" t="s">
        <v>195</v>
      </c>
    </row>
    <row r="281" spans="2:10" x14ac:dyDescent="0.35">
      <c r="B281" s="15" t="s">
        <v>161</v>
      </c>
      <c r="C281" s="15" t="s">
        <v>9</v>
      </c>
      <c r="D281" s="15" t="s">
        <v>18</v>
      </c>
      <c r="E281" s="17">
        <v>0.88888888888888884</v>
      </c>
      <c r="F281" s="17">
        <v>1</v>
      </c>
      <c r="G281" s="17"/>
      <c r="H281" s="17"/>
      <c r="I281" s="17">
        <v>0.94444444444444442</v>
      </c>
      <c r="J281" s="15" t="s">
        <v>195</v>
      </c>
    </row>
    <row r="282" spans="2:10" x14ac:dyDescent="0.35">
      <c r="B282" s="15" t="s">
        <v>162</v>
      </c>
      <c r="C282" s="15" t="s">
        <v>9</v>
      </c>
      <c r="D282" s="15" t="s">
        <v>13</v>
      </c>
      <c r="E282" s="17">
        <v>0.66666666666666663</v>
      </c>
      <c r="F282" s="17">
        <v>1</v>
      </c>
      <c r="G282" s="17"/>
      <c r="H282" s="17"/>
      <c r="I282" s="17">
        <v>0.83333333333333326</v>
      </c>
      <c r="J282" s="15" t="s">
        <v>195</v>
      </c>
    </row>
    <row r="283" spans="2:10" x14ac:dyDescent="0.35">
      <c r="B283" s="15" t="s">
        <v>163</v>
      </c>
      <c r="C283" s="15" t="s">
        <v>9</v>
      </c>
      <c r="D283" s="15" t="s">
        <v>16</v>
      </c>
      <c r="E283" s="17">
        <v>1</v>
      </c>
      <c r="F283" s="17">
        <v>1</v>
      </c>
      <c r="G283" s="17"/>
      <c r="H283" s="17"/>
      <c r="I283" s="17">
        <v>1</v>
      </c>
      <c r="J283" s="15" t="s">
        <v>195</v>
      </c>
    </row>
    <row r="284" spans="2:10" x14ac:dyDescent="0.35">
      <c r="B284" s="15" t="s">
        <v>164</v>
      </c>
      <c r="C284" s="15" t="s">
        <v>9</v>
      </c>
      <c r="D284" s="15" t="s">
        <v>48</v>
      </c>
      <c r="E284" s="17">
        <v>0.4</v>
      </c>
      <c r="F284" s="17">
        <v>1</v>
      </c>
      <c r="G284" s="17"/>
      <c r="H284" s="17"/>
      <c r="I284" s="17">
        <v>0.7</v>
      </c>
      <c r="J284" s="15" t="s">
        <v>195</v>
      </c>
    </row>
    <row r="285" spans="2:10" x14ac:dyDescent="0.35">
      <c r="B285" s="15" t="s">
        <v>165</v>
      </c>
      <c r="C285" s="15" t="s">
        <v>9</v>
      </c>
      <c r="D285" s="15" t="s">
        <v>26</v>
      </c>
      <c r="E285" s="17">
        <v>0.44444444444444442</v>
      </c>
      <c r="F285" s="17">
        <v>1</v>
      </c>
      <c r="G285" s="17"/>
      <c r="H285" s="17"/>
      <c r="I285" s="17">
        <v>0.72222222222222221</v>
      </c>
      <c r="J285" s="15" t="s">
        <v>195</v>
      </c>
    </row>
    <row r="286" spans="2:10" x14ac:dyDescent="0.35">
      <c r="B286" s="15" t="s">
        <v>166</v>
      </c>
      <c r="C286" s="15" t="s">
        <v>9</v>
      </c>
      <c r="D286" s="15" t="s">
        <v>26</v>
      </c>
      <c r="E286" s="17">
        <v>0.8</v>
      </c>
      <c r="F286" s="17">
        <v>1</v>
      </c>
      <c r="G286" s="17"/>
      <c r="H286" s="17"/>
      <c r="I286" s="17">
        <v>0.9</v>
      </c>
      <c r="J286" s="15" t="s">
        <v>195</v>
      </c>
    </row>
    <row r="287" spans="2:10" x14ac:dyDescent="0.35">
      <c r="B287" s="15" t="s">
        <v>167</v>
      </c>
      <c r="C287" s="15" t="s">
        <v>9</v>
      </c>
      <c r="D287" s="15" t="s">
        <v>23</v>
      </c>
      <c r="E287" s="17">
        <v>0.55555555555555558</v>
      </c>
      <c r="F287" s="17">
        <v>1</v>
      </c>
      <c r="G287" s="17"/>
      <c r="H287" s="17"/>
      <c r="I287" s="17">
        <v>0.77777777777777779</v>
      </c>
      <c r="J287" s="15" t="s">
        <v>195</v>
      </c>
    </row>
    <row r="288" spans="2:10" x14ac:dyDescent="0.35">
      <c r="B288" s="15" t="s">
        <v>168</v>
      </c>
      <c r="C288" s="15" t="s">
        <v>9</v>
      </c>
      <c r="D288" s="15" t="s">
        <v>43</v>
      </c>
      <c r="E288" s="17">
        <v>0.8</v>
      </c>
      <c r="F288" s="17">
        <v>1</v>
      </c>
      <c r="G288" s="17"/>
      <c r="H288" s="17"/>
      <c r="I288" s="17">
        <v>0.9</v>
      </c>
      <c r="J288" s="15" t="s">
        <v>195</v>
      </c>
    </row>
    <row r="289" spans="2:10" x14ac:dyDescent="0.35">
      <c r="B289" s="15" t="s">
        <v>169</v>
      </c>
      <c r="C289" s="15" t="s">
        <v>9</v>
      </c>
      <c r="D289" s="15" t="s">
        <v>13</v>
      </c>
      <c r="E289" s="17">
        <v>0.81818181818181823</v>
      </c>
      <c r="F289" s="17">
        <v>1</v>
      </c>
      <c r="G289" s="17"/>
      <c r="H289" s="17"/>
      <c r="I289" s="17">
        <v>0.90909090909090917</v>
      </c>
      <c r="J289" s="15" t="s">
        <v>195</v>
      </c>
    </row>
    <row r="290" spans="2:10" x14ac:dyDescent="0.35">
      <c r="B290" s="15" t="s">
        <v>170</v>
      </c>
      <c r="C290" s="15" t="s">
        <v>9</v>
      </c>
      <c r="D290" s="15" t="s">
        <v>21</v>
      </c>
      <c r="E290" s="17">
        <v>0.6</v>
      </c>
      <c r="F290" s="17">
        <v>1</v>
      </c>
      <c r="G290" s="17"/>
      <c r="H290" s="17"/>
      <c r="I290" s="17">
        <v>0.8</v>
      </c>
      <c r="J290" s="15" t="s">
        <v>195</v>
      </c>
    </row>
    <row r="291" spans="2:10" x14ac:dyDescent="0.35">
      <c r="B291" s="15" t="s">
        <v>171</v>
      </c>
      <c r="C291" s="15" t="s">
        <v>9</v>
      </c>
      <c r="D291" s="15" t="s">
        <v>95</v>
      </c>
      <c r="E291" s="17">
        <v>1</v>
      </c>
      <c r="F291" s="17">
        <v>1</v>
      </c>
      <c r="G291" s="17"/>
      <c r="H291" s="17"/>
      <c r="I291" s="17">
        <v>1</v>
      </c>
      <c r="J291" s="15" t="s">
        <v>195</v>
      </c>
    </row>
    <row r="292" spans="2:10" x14ac:dyDescent="0.35">
      <c r="B292" s="15" t="s">
        <v>172</v>
      </c>
      <c r="C292" s="15" t="s">
        <v>9</v>
      </c>
      <c r="D292" s="15" t="s">
        <v>21</v>
      </c>
      <c r="E292" s="17">
        <v>0.6</v>
      </c>
      <c r="F292" s="17">
        <v>1</v>
      </c>
      <c r="G292" s="17"/>
      <c r="H292" s="17"/>
      <c r="I292" s="17">
        <v>0.8</v>
      </c>
      <c r="J292" s="15" t="s">
        <v>195</v>
      </c>
    </row>
    <row r="293" spans="2:10" x14ac:dyDescent="0.35">
      <c r="B293" s="15" t="s">
        <v>173</v>
      </c>
      <c r="C293" s="15" t="s">
        <v>9</v>
      </c>
      <c r="D293" s="15" t="s">
        <v>43</v>
      </c>
      <c r="E293" s="17">
        <v>1</v>
      </c>
      <c r="F293" s="17">
        <v>1</v>
      </c>
      <c r="G293" s="17"/>
      <c r="H293" s="17"/>
      <c r="I293" s="17">
        <v>1</v>
      </c>
      <c r="J293" s="15" t="s">
        <v>195</v>
      </c>
    </row>
    <row r="294" spans="2:10" x14ac:dyDescent="0.35">
      <c r="B294" s="15" t="s">
        <v>174</v>
      </c>
      <c r="C294" s="15" t="s">
        <v>9</v>
      </c>
      <c r="D294" s="15" t="s">
        <v>26</v>
      </c>
      <c r="E294" s="17">
        <v>0.5</v>
      </c>
      <c r="F294" s="17">
        <v>1</v>
      </c>
      <c r="G294" s="17"/>
      <c r="H294" s="17"/>
      <c r="I294" s="17">
        <v>0.75</v>
      </c>
      <c r="J294" s="15" t="s">
        <v>195</v>
      </c>
    </row>
    <row r="295" spans="2:10" x14ac:dyDescent="0.35">
      <c r="B295" s="15" t="s">
        <v>175</v>
      </c>
      <c r="C295" s="15" t="s">
        <v>9</v>
      </c>
      <c r="D295" s="15" t="s">
        <v>65</v>
      </c>
      <c r="E295" s="17">
        <v>1</v>
      </c>
      <c r="F295" s="17">
        <v>1</v>
      </c>
      <c r="G295" s="17"/>
      <c r="H295" s="17"/>
      <c r="I295" s="17">
        <v>1</v>
      </c>
      <c r="J295" s="15" t="s">
        <v>195</v>
      </c>
    </row>
    <row r="296" spans="2:10" x14ac:dyDescent="0.35">
      <c r="B296" s="15" t="s">
        <v>176</v>
      </c>
      <c r="C296" s="15" t="s">
        <v>9</v>
      </c>
      <c r="D296" s="15" t="s">
        <v>43</v>
      </c>
      <c r="E296" s="17">
        <v>0.4</v>
      </c>
      <c r="F296" s="17">
        <v>1</v>
      </c>
      <c r="G296" s="17"/>
      <c r="H296" s="17"/>
      <c r="I296" s="17">
        <v>0.7</v>
      </c>
      <c r="J296" s="15" t="s">
        <v>195</v>
      </c>
    </row>
    <row r="297" spans="2:10" x14ac:dyDescent="0.35">
      <c r="B297" s="15" t="s">
        <v>177</v>
      </c>
      <c r="C297" s="15" t="s">
        <v>9</v>
      </c>
      <c r="D297" s="15" t="s">
        <v>26</v>
      </c>
      <c r="E297" s="17">
        <v>0.4</v>
      </c>
      <c r="F297" s="17">
        <v>1</v>
      </c>
      <c r="G297" s="17"/>
      <c r="H297" s="17"/>
      <c r="I297" s="17">
        <v>0.7</v>
      </c>
      <c r="J297" s="15" t="s">
        <v>195</v>
      </c>
    </row>
    <row r="298" spans="2:10" x14ac:dyDescent="0.35">
      <c r="B298" s="15" t="s">
        <v>178</v>
      </c>
      <c r="C298" s="15" t="s">
        <v>9</v>
      </c>
      <c r="D298" s="15" t="s">
        <v>43</v>
      </c>
      <c r="E298" s="17">
        <v>1</v>
      </c>
      <c r="F298" s="17">
        <v>1</v>
      </c>
      <c r="G298" s="17"/>
      <c r="H298" s="17"/>
      <c r="I298" s="17">
        <v>1</v>
      </c>
      <c r="J298" s="15" t="s">
        <v>195</v>
      </c>
    </row>
    <row r="299" spans="2:10" x14ac:dyDescent="0.35">
      <c r="B299" s="15" t="s">
        <v>179</v>
      </c>
      <c r="C299" s="15" t="s">
        <v>9</v>
      </c>
      <c r="D299" s="15" t="s">
        <v>54</v>
      </c>
      <c r="E299" s="17">
        <v>1</v>
      </c>
      <c r="F299" s="17">
        <v>1</v>
      </c>
      <c r="G299" s="17"/>
      <c r="H299" s="17"/>
      <c r="I299" s="17">
        <v>1</v>
      </c>
      <c r="J299" s="15" t="s">
        <v>195</v>
      </c>
    </row>
    <row r="300" spans="2:10" x14ac:dyDescent="0.35">
      <c r="B300" s="15" t="s">
        <v>180</v>
      </c>
      <c r="C300" s="15" t="s">
        <v>130</v>
      </c>
      <c r="D300" s="15" t="s">
        <v>30</v>
      </c>
      <c r="E300" s="17">
        <v>1</v>
      </c>
      <c r="F300" s="17">
        <v>1</v>
      </c>
      <c r="G300" s="17"/>
      <c r="H300" s="17"/>
      <c r="I300" s="17">
        <v>1</v>
      </c>
      <c r="J300" s="15" t="s">
        <v>195</v>
      </c>
    </row>
    <row r="301" spans="2:10" x14ac:dyDescent="0.35">
      <c r="B301" s="15" t="s">
        <v>181</v>
      </c>
      <c r="C301" s="15" t="s">
        <v>130</v>
      </c>
      <c r="D301" s="15" t="s">
        <v>30</v>
      </c>
      <c r="E301" s="17">
        <v>1</v>
      </c>
      <c r="F301" s="17">
        <v>1</v>
      </c>
      <c r="G301" s="17"/>
      <c r="H301" s="17"/>
      <c r="I301" s="17">
        <v>1</v>
      </c>
      <c r="J301" s="15" t="s">
        <v>195</v>
      </c>
    </row>
    <row r="302" spans="2:10" x14ac:dyDescent="0.35">
      <c r="B302" s="15" t="s">
        <v>182</v>
      </c>
      <c r="C302" s="15" t="s">
        <v>130</v>
      </c>
      <c r="D302" s="15" t="s">
        <v>30</v>
      </c>
      <c r="E302" s="17">
        <v>1</v>
      </c>
      <c r="F302" s="17">
        <v>1</v>
      </c>
      <c r="G302" s="17"/>
      <c r="H302" s="17"/>
      <c r="I302" s="17">
        <v>1</v>
      </c>
      <c r="J302" s="15" t="s">
        <v>195</v>
      </c>
    </row>
    <row r="303" spans="2:10" x14ac:dyDescent="0.35">
      <c r="B303" s="15" t="s">
        <v>183</v>
      </c>
      <c r="C303" s="15" t="s">
        <v>9</v>
      </c>
      <c r="D303" s="15" t="s">
        <v>93</v>
      </c>
      <c r="E303" s="17">
        <v>0.4</v>
      </c>
      <c r="F303" s="17">
        <v>1</v>
      </c>
      <c r="G303" s="17"/>
      <c r="H303" s="17"/>
      <c r="I303" s="17">
        <v>0.7</v>
      </c>
      <c r="J303" s="15" t="s">
        <v>195</v>
      </c>
    </row>
    <row r="304" spans="2:10" x14ac:dyDescent="0.35">
      <c r="B304" s="15" t="s">
        <v>184</v>
      </c>
      <c r="C304" s="15" t="s">
        <v>9</v>
      </c>
      <c r="D304" s="15" t="s">
        <v>54</v>
      </c>
      <c r="E304" s="17">
        <v>1</v>
      </c>
      <c r="F304" s="17">
        <v>1</v>
      </c>
      <c r="G304" s="17"/>
      <c r="H304" s="17"/>
      <c r="I304" s="17">
        <v>1</v>
      </c>
      <c r="J304" s="15" t="s">
        <v>195</v>
      </c>
    </row>
    <row r="305" spans="2:10" x14ac:dyDescent="0.35">
      <c r="B305" s="15" t="s">
        <v>185</v>
      </c>
      <c r="C305" s="15" t="s">
        <v>9</v>
      </c>
      <c r="D305" s="15" t="s">
        <v>95</v>
      </c>
      <c r="E305" s="17">
        <v>1</v>
      </c>
      <c r="F305" s="17">
        <v>1</v>
      </c>
      <c r="G305" s="17"/>
      <c r="H305" s="17"/>
      <c r="I305" s="17">
        <v>1</v>
      </c>
      <c r="J305" s="15" t="s">
        <v>195</v>
      </c>
    </row>
    <row r="306" spans="2:10" x14ac:dyDescent="0.35">
      <c r="B306" s="15" t="s">
        <v>186</v>
      </c>
      <c r="C306" s="15" t="s">
        <v>9</v>
      </c>
      <c r="D306" s="15" t="s">
        <v>26</v>
      </c>
      <c r="E306" s="17">
        <v>0.66666666666666663</v>
      </c>
      <c r="F306" s="17">
        <v>1</v>
      </c>
      <c r="G306" s="17"/>
      <c r="H306" s="17"/>
      <c r="I306" s="17">
        <v>0.83333333333333326</v>
      </c>
      <c r="J306" s="15" t="s">
        <v>195</v>
      </c>
    </row>
    <row r="307" spans="2:10" x14ac:dyDescent="0.35">
      <c r="B307" s="15" t="s">
        <v>187</v>
      </c>
      <c r="C307" s="15" t="s">
        <v>9</v>
      </c>
      <c r="D307" s="15" t="s">
        <v>10</v>
      </c>
      <c r="E307" s="17">
        <v>0.4</v>
      </c>
      <c r="F307" s="17">
        <v>1</v>
      </c>
      <c r="G307" s="17"/>
      <c r="H307" s="17"/>
      <c r="I307" s="17">
        <v>0.7</v>
      </c>
      <c r="J307" s="15" t="s">
        <v>195</v>
      </c>
    </row>
    <row r="308" spans="2:10" x14ac:dyDescent="0.35">
      <c r="B308" s="15" t="s">
        <v>188</v>
      </c>
      <c r="C308" s="15" t="s">
        <v>9</v>
      </c>
      <c r="D308" s="15" t="s">
        <v>10</v>
      </c>
      <c r="E308" s="17">
        <v>0.6</v>
      </c>
      <c r="F308" s="17">
        <v>1</v>
      </c>
      <c r="G308" s="17"/>
      <c r="H308" s="17"/>
      <c r="I308" s="17">
        <v>0.8</v>
      </c>
      <c r="J308" s="15" t="s">
        <v>195</v>
      </c>
    </row>
    <row r="309" spans="2:10" x14ac:dyDescent="0.35">
      <c r="B309" s="15" t="s">
        <v>189</v>
      </c>
      <c r="C309" s="15" t="s">
        <v>9</v>
      </c>
      <c r="D309" s="15" t="s">
        <v>26</v>
      </c>
      <c r="E309" s="17">
        <v>1</v>
      </c>
      <c r="F309" s="17">
        <v>1</v>
      </c>
      <c r="G309" s="17"/>
      <c r="H309" s="17"/>
      <c r="I309" s="17">
        <v>1</v>
      </c>
      <c r="J309" s="15" t="s">
        <v>195</v>
      </c>
    </row>
    <row r="310" spans="2:10" x14ac:dyDescent="0.35">
      <c r="B310" s="15" t="s">
        <v>190</v>
      </c>
      <c r="C310" s="15" t="s">
        <v>9</v>
      </c>
      <c r="D310" s="15" t="s">
        <v>23</v>
      </c>
      <c r="E310" s="17">
        <v>1</v>
      </c>
      <c r="F310" s="17">
        <v>1</v>
      </c>
      <c r="G310" s="17"/>
      <c r="H310" s="17"/>
      <c r="I310" s="17">
        <v>1</v>
      </c>
      <c r="J310" s="15" t="s">
        <v>195</v>
      </c>
    </row>
    <row r="311" spans="2:10" x14ac:dyDescent="0.35">
      <c r="B311" s="15" t="s">
        <v>191</v>
      </c>
      <c r="C311" s="15" t="s">
        <v>9</v>
      </c>
      <c r="D311" s="15" t="s">
        <v>23</v>
      </c>
      <c r="E311" s="17">
        <v>0.48148148148148145</v>
      </c>
      <c r="F311" s="17">
        <v>1</v>
      </c>
      <c r="G311" s="17"/>
      <c r="H311" s="17"/>
      <c r="I311" s="17">
        <v>0.7407407407407407</v>
      </c>
      <c r="J311" s="15" t="s">
        <v>195</v>
      </c>
    </row>
    <row r="312" spans="2:10" x14ac:dyDescent="0.35">
      <c r="B312" s="15" t="s">
        <v>192</v>
      </c>
      <c r="C312" s="15" t="s">
        <v>9</v>
      </c>
      <c r="D312" s="15" t="s">
        <v>10</v>
      </c>
      <c r="E312" s="17">
        <v>1</v>
      </c>
      <c r="F312" s="17">
        <v>1</v>
      </c>
      <c r="G312" s="17"/>
      <c r="H312" s="17"/>
      <c r="I312" s="17">
        <v>1</v>
      </c>
      <c r="J312" s="15" t="s">
        <v>195</v>
      </c>
    </row>
    <row r="313" spans="2:10" x14ac:dyDescent="0.35">
      <c r="B313" s="15" t="s">
        <v>193</v>
      </c>
      <c r="C313" s="15" t="s">
        <v>9</v>
      </c>
      <c r="D313" s="15" t="s">
        <v>10</v>
      </c>
      <c r="E313" s="17">
        <v>0.4</v>
      </c>
      <c r="F313" s="17">
        <v>1</v>
      </c>
      <c r="G313" s="17"/>
      <c r="H313" s="17"/>
      <c r="I313" s="17">
        <v>0.7</v>
      </c>
      <c r="J313" s="15" t="s">
        <v>195</v>
      </c>
    </row>
    <row r="314" spans="2:10" x14ac:dyDescent="0.35">
      <c r="B314" s="15" t="s">
        <v>194</v>
      </c>
      <c r="C314" s="15" t="s">
        <v>9</v>
      </c>
      <c r="D314" s="15" t="s">
        <v>43</v>
      </c>
      <c r="E314" s="17">
        <v>0.4</v>
      </c>
      <c r="F314" s="17">
        <v>1</v>
      </c>
      <c r="G314" s="17"/>
      <c r="H314" s="17"/>
      <c r="I314" s="17">
        <v>0.7</v>
      </c>
      <c r="J314" s="15" t="s">
        <v>195</v>
      </c>
    </row>
    <row r="315" spans="2:10" x14ac:dyDescent="0.35">
      <c r="B315" s="15" t="s">
        <v>8</v>
      </c>
      <c r="C315" s="15" t="s">
        <v>9</v>
      </c>
      <c r="D315" s="15" t="s">
        <v>10</v>
      </c>
      <c r="E315" s="17">
        <v>1</v>
      </c>
      <c r="F315" s="17">
        <v>1</v>
      </c>
      <c r="G315" s="17">
        <v>1</v>
      </c>
      <c r="H315" s="17">
        <v>1</v>
      </c>
      <c r="I315" s="17">
        <v>1</v>
      </c>
      <c r="J315" s="15" t="s">
        <v>196</v>
      </c>
    </row>
    <row r="316" spans="2:10" x14ac:dyDescent="0.35">
      <c r="B316" s="15" t="s">
        <v>12</v>
      </c>
      <c r="C316" s="15" t="s">
        <v>9</v>
      </c>
      <c r="D316" s="15" t="s">
        <v>13</v>
      </c>
      <c r="E316" s="17">
        <v>1</v>
      </c>
      <c r="F316" s="17">
        <v>1</v>
      </c>
      <c r="G316" s="17">
        <v>1</v>
      </c>
      <c r="H316" s="17">
        <v>1</v>
      </c>
      <c r="I316" s="17">
        <v>1</v>
      </c>
      <c r="J316" s="15" t="s">
        <v>196</v>
      </c>
    </row>
    <row r="317" spans="2:10" x14ac:dyDescent="0.35">
      <c r="B317" s="15" t="s">
        <v>14</v>
      </c>
      <c r="C317" s="15" t="s">
        <v>9</v>
      </c>
      <c r="D317" s="15" t="s">
        <v>10</v>
      </c>
      <c r="E317" s="17">
        <v>1</v>
      </c>
      <c r="F317" s="17">
        <v>1</v>
      </c>
      <c r="G317" s="17">
        <v>1</v>
      </c>
      <c r="H317" s="17">
        <v>1</v>
      </c>
      <c r="I317" s="17">
        <v>1</v>
      </c>
      <c r="J317" s="15" t="s">
        <v>196</v>
      </c>
    </row>
    <row r="318" spans="2:10" x14ac:dyDescent="0.35">
      <c r="B318" s="15" t="s">
        <v>15</v>
      </c>
      <c r="C318" s="15" t="s">
        <v>9</v>
      </c>
      <c r="D318" s="15" t="s">
        <v>16</v>
      </c>
      <c r="E318" s="17">
        <v>1</v>
      </c>
      <c r="F318" s="17">
        <v>1</v>
      </c>
      <c r="G318" s="17">
        <v>1</v>
      </c>
      <c r="H318" s="17">
        <v>1</v>
      </c>
      <c r="I318" s="17">
        <v>1</v>
      </c>
      <c r="J318" s="15" t="s">
        <v>196</v>
      </c>
    </row>
    <row r="319" spans="2:10" x14ac:dyDescent="0.35">
      <c r="B319" s="15" t="s">
        <v>17</v>
      </c>
      <c r="C319" s="15" t="s">
        <v>9</v>
      </c>
      <c r="D319" s="15" t="s">
        <v>18</v>
      </c>
      <c r="E319" s="17">
        <v>1</v>
      </c>
      <c r="F319" s="17">
        <v>1</v>
      </c>
      <c r="G319" s="17">
        <v>1</v>
      </c>
      <c r="H319" s="17">
        <v>1</v>
      </c>
      <c r="I319" s="17">
        <v>1</v>
      </c>
      <c r="J319" s="15" t="s">
        <v>196</v>
      </c>
    </row>
    <row r="320" spans="2:10" x14ac:dyDescent="0.35">
      <c r="B320" s="15" t="s">
        <v>19</v>
      </c>
      <c r="C320" s="15" t="s">
        <v>9</v>
      </c>
      <c r="D320" s="15" t="s">
        <v>13</v>
      </c>
      <c r="E320" s="17">
        <v>1</v>
      </c>
      <c r="F320" s="17">
        <v>1</v>
      </c>
      <c r="G320" s="17">
        <v>1</v>
      </c>
      <c r="H320" s="17">
        <v>1</v>
      </c>
      <c r="I320" s="17">
        <v>1</v>
      </c>
      <c r="J320" s="15" t="s">
        <v>196</v>
      </c>
    </row>
    <row r="321" spans="2:10" x14ac:dyDescent="0.35">
      <c r="B321" s="15" t="s">
        <v>20</v>
      </c>
      <c r="C321" s="15" t="s">
        <v>9</v>
      </c>
      <c r="D321" s="15" t="s">
        <v>21</v>
      </c>
      <c r="E321" s="17">
        <v>1</v>
      </c>
      <c r="F321" s="17">
        <v>1</v>
      </c>
      <c r="G321" s="17">
        <v>1</v>
      </c>
      <c r="H321" s="17">
        <v>1</v>
      </c>
      <c r="I321" s="17">
        <v>1</v>
      </c>
      <c r="J321" s="15" t="s">
        <v>196</v>
      </c>
    </row>
    <row r="322" spans="2:10" x14ac:dyDescent="0.35">
      <c r="B322" s="15" t="s">
        <v>22</v>
      </c>
      <c r="C322" s="15" t="s">
        <v>9</v>
      </c>
      <c r="D322" s="15" t="s">
        <v>23</v>
      </c>
      <c r="E322" s="17">
        <v>1</v>
      </c>
      <c r="F322" s="17">
        <v>1</v>
      </c>
      <c r="G322" s="17">
        <v>1</v>
      </c>
      <c r="H322" s="17">
        <v>1</v>
      </c>
      <c r="I322" s="17">
        <v>1</v>
      </c>
      <c r="J322" s="15" t="s">
        <v>196</v>
      </c>
    </row>
    <row r="323" spans="2:10" x14ac:dyDescent="0.35">
      <c r="B323" s="15" t="s">
        <v>24</v>
      </c>
      <c r="C323" s="15" t="s">
        <v>9</v>
      </c>
      <c r="D323" s="15" t="s">
        <v>13</v>
      </c>
      <c r="E323" s="17">
        <v>1</v>
      </c>
      <c r="F323" s="17">
        <v>1</v>
      </c>
      <c r="G323" s="17">
        <v>1</v>
      </c>
      <c r="H323" s="17">
        <v>1</v>
      </c>
      <c r="I323" s="17">
        <v>1</v>
      </c>
      <c r="J323" s="15" t="s">
        <v>196</v>
      </c>
    </row>
    <row r="324" spans="2:10" x14ac:dyDescent="0.35">
      <c r="B324" s="15" t="s">
        <v>25</v>
      </c>
      <c r="C324" s="15" t="s">
        <v>9</v>
      </c>
      <c r="D324" s="15" t="s">
        <v>26</v>
      </c>
      <c r="E324" s="17">
        <v>1</v>
      </c>
      <c r="F324" s="17">
        <v>1</v>
      </c>
      <c r="G324" s="17">
        <v>1</v>
      </c>
      <c r="H324" s="17">
        <v>1</v>
      </c>
      <c r="I324" s="17">
        <v>1</v>
      </c>
      <c r="J324" s="15" t="s">
        <v>196</v>
      </c>
    </row>
    <row r="325" spans="2:10" x14ac:dyDescent="0.35">
      <c r="B325" s="15" t="s">
        <v>27</v>
      </c>
      <c r="C325" s="15" t="s">
        <v>9</v>
      </c>
      <c r="D325" s="15" t="s">
        <v>26</v>
      </c>
      <c r="E325" s="17">
        <v>1</v>
      </c>
      <c r="F325" s="17">
        <v>1</v>
      </c>
      <c r="G325" s="17">
        <v>1</v>
      </c>
      <c r="H325" s="17">
        <v>1</v>
      </c>
      <c r="I325" s="17">
        <v>1</v>
      </c>
      <c r="J325" s="15" t="s">
        <v>196</v>
      </c>
    </row>
    <row r="326" spans="2:10" x14ac:dyDescent="0.35">
      <c r="B326" s="15" t="s">
        <v>28</v>
      </c>
      <c r="C326" s="15" t="s">
        <v>29</v>
      </c>
      <c r="D326" s="15" t="s">
        <v>30</v>
      </c>
      <c r="E326" s="17">
        <v>1</v>
      </c>
      <c r="F326" s="17">
        <v>1</v>
      </c>
      <c r="G326" s="17">
        <v>1</v>
      </c>
      <c r="H326" s="17">
        <v>1</v>
      </c>
      <c r="I326" s="17">
        <v>1</v>
      </c>
      <c r="J326" s="15" t="s">
        <v>196</v>
      </c>
    </row>
    <row r="327" spans="2:10" x14ac:dyDescent="0.35">
      <c r="B327" s="15" t="s">
        <v>31</v>
      </c>
      <c r="C327" s="15" t="s">
        <v>29</v>
      </c>
      <c r="D327" s="15" t="s">
        <v>30</v>
      </c>
      <c r="E327" s="17">
        <v>1</v>
      </c>
      <c r="F327" s="17">
        <v>1</v>
      </c>
      <c r="G327" s="17">
        <v>1</v>
      </c>
      <c r="H327" s="17">
        <v>1</v>
      </c>
      <c r="I327" s="17">
        <v>1</v>
      </c>
      <c r="J327" s="15" t="s">
        <v>196</v>
      </c>
    </row>
    <row r="328" spans="2:10" x14ac:dyDescent="0.35">
      <c r="B328" s="15" t="s">
        <v>32</v>
      </c>
      <c r="C328" s="15" t="s">
        <v>29</v>
      </c>
      <c r="D328" s="15" t="s">
        <v>30</v>
      </c>
      <c r="E328" s="17">
        <v>1</v>
      </c>
      <c r="F328" s="17">
        <v>1</v>
      </c>
      <c r="G328" s="17">
        <v>1</v>
      </c>
      <c r="H328" s="17">
        <v>1</v>
      </c>
      <c r="I328" s="17">
        <v>1</v>
      </c>
      <c r="J328" s="15" t="s">
        <v>196</v>
      </c>
    </row>
    <row r="329" spans="2:10" x14ac:dyDescent="0.35">
      <c r="B329" s="15" t="s">
        <v>33</v>
      </c>
      <c r="C329" s="15" t="s">
        <v>29</v>
      </c>
      <c r="D329" s="15" t="s">
        <v>30</v>
      </c>
      <c r="E329" s="17">
        <v>1</v>
      </c>
      <c r="F329" s="17">
        <v>1</v>
      </c>
      <c r="G329" s="17">
        <v>1</v>
      </c>
      <c r="H329" s="17">
        <v>1</v>
      </c>
      <c r="I329" s="17">
        <v>1</v>
      </c>
      <c r="J329" s="15" t="s">
        <v>196</v>
      </c>
    </row>
    <row r="330" spans="2:10" x14ac:dyDescent="0.35">
      <c r="B330" s="15" t="s">
        <v>34</v>
      </c>
      <c r="C330" s="15" t="s">
        <v>35</v>
      </c>
      <c r="D330" s="15" t="s">
        <v>30</v>
      </c>
      <c r="E330" s="17">
        <v>0</v>
      </c>
      <c r="F330" s="17">
        <v>0</v>
      </c>
      <c r="G330" s="17">
        <v>0</v>
      </c>
      <c r="H330" s="17">
        <v>0</v>
      </c>
      <c r="I330" s="17">
        <v>0</v>
      </c>
      <c r="J330" s="15" t="s">
        <v>196</v>
      </c>
    </row>
    <row r="331" spans="2:10" x14ac:dyDescent="0.35">
      <c r="B331" s="15" t="s">
        <v>36</v>
      </c>
      <c r="C331" s="15" t="s">
        <v>35</v>
      </c>
      <c r="D331" s="15" t="s">
        <v>30</v>
      </c>
      <c r="E331" s="17">
        <v>0</v>
      </c>
      <c r="F331" s="17">
        <v>0</v>
      </c>
      <c r="G331" s="17">
        <v>0</v>
      </c>
      <c r="H331" s="17">
        <v>0</v>
      </c>
      <c r="I331" s="17">
        <v>0</v>
      </c>
      <c r="J331" s="15" t="s">
        <v>196</v>
      </c>
    </row>
    <row r="332" spans="2:10" x14ac:dyDescent="0.35">
      <c r="B332" s="15" t="s">
        <v>37</v>
      </c>
      <c r="C332" s="15" t="s">
        <v>35</v>
      </c>
      <c r="D332" s="15" t="s">
        <v>30</v>
      </c>
      <c r="E332" s="17">
        <v>0</v>
      </c>
      <c r="F332" s="17">
        <v>0</v>
      </c>
      <c r="G332" s="17">
        <v>0</v>
      </c>
      <c r="H332" s="17">
        <v>0</v>
      </c>
      <c r="I332" s="17">
        <v>0</v>
      </c>
      <c r="J332" s="15" t="s">
        <v>196</v>
      </c>
    </row>
    <row r="333" spans="2:10" x14ac:dyDescent="0.35">
      <c r="B333" s="15" t="s">
        <v>38</v>
      </c>
      <c r="C333" s="15" t="s">
        <v>35</v>
      </c>
      <c r="D333" s="15" t="s">
        <v>30</v>
      </c>
      <c r="E333" s="17">
        <v>1</v>
      </c>
      <c r="F333" s="17">
        <v>1</v>
      </c>
      <c r="G333" s="17">
        <v>1</v>
      </c>
      <c r="H333" s="17">
        <v>1</v>
      </c>
      <c r="I333" s="17">
        <v>1</v>
      </c>
      <c r="J333" s="15" t="s">
        <v>196</v>
      </c>
    </row>
    <row r="334" spans="2:10" x14ac:dyDescent="0.35">
      <c r="B334" s="15" t="s">
        <v>39</v>
      </c>
      <c r="C334" s="15" t="s">
        <v>35</v>
      </c>
      <c r="D334" s="15" t="s">
        <v>30</v>
      </c>
      <c r="E334" s="17">
        <v>0.6</v>
      </c>
      <c r="F334" s="17">
        <v>0.6</v>
      </c>
      <c r="G334" s="17">
        <v>0.6</v>
      </c>
      <c r="H334" s="17">
        <v>0.6</v>
      </c>
      <c r="I334" s="17">
        <v>0.6</v>
      </c>
      <c r="J334" s="15" t="s">
        <v>196</v>
      </c>
    </row>
    <row r="335" spans="2:10" x14ac:dyDescent="0.35">
      <c r="B335" s="15" t="s">
        <v>40</v>
      </c>
      <c r="C335" s="15" t="s">
        <v>35</v>
      </c>
      <c r="D335" s="15" t="s">
        <v>30</v>
      </c>
      <c r="E335" s="17">
        <v>0.33333333333333331</v>
      </c>
      <c r="F335" s="17">
        <v>0.33333333333333331</v>
      </c>
      <c r="G335" s="17">
        <v>0.33333333333333331</v>
      </c>
      <c r="H335" s="17">
        <v>0.33333333333333331</v>
      </c>
      <c r="I335" s="17">
        <v>0.33333333333333331</v>
      </c>
      <c r="J335" s="15" t="s">
        <v>196</v>
      </c>
    </row>
    <row r="336" spans="2:10" x14ac:dyDescent="0.35">
      <c r="B336" s="15" t="s">
        <v>41</v>
      </c>
      <c r="C336" s="15" t="s">
        <v>35</v>
      </c>
      <c r="D336" s="15" t="s">
        <v>30</v>
      </c>
      <c r="E336" s="17">
        <v>0</v>
      </c>
      <c r="F336" s="17">
        <v>0</v>
      </c>
      <c r="G336" s="17">
        <v>0</v>
      </c>
      <c r="H336" s="17">
        <v>0</v>
      </c>
      <c r="I336" s="17">
        <v>0</v>
      </c>
      <c r="J336" s="15" t="s">
        <v>196</v>
      </c>
    </row>
    <row r="337" spans="2:10" x14ac:dyDescent="0.35">
      <c r="B337" s="15" t="s">
        <v>42</v>
      </c>
      <c r="C337" s="15" t="s">
        <v>9</v>
      </c>
      <c r="D337" s="15" t="s">
        <v>43</v>
      </c>
      <c r="E337" s="17">
        <v>1</v>
      </c>
      <c r="F337" s="17">
        <v>1</v>
      </c>
      <c r="G337" s="17">
        <v>1</v>
      </c>
      <c r="H337" s="17">
        <v>1</v>
      </c>
      <c r="I337" s="17">
        <v>1</v>
      </c>
      <c r="J337" s="15" t="s">
        <v>196</v>
      </c>
    </row>
    <row r="338" spans="2:10" x14ac:dyDescent="0.35">
      <c r="B338" s="15" t="s">
        <v>44</v>
      </c>
      <c r="C338" s="15" t="s">
        <v>9</v>
      </c>
      <c r="D338" s="15" t="s">
        <v>43</v>
      </c>
      <c r="E338" s="17">
        <v>1</v>
      </c>
      <c r="F338" s="17">
        <v>1</v>
      </c>
      <c r="G338" s="17">
        <v>1</v>
      </c>
      <c r="H338" s="17">
        <v>1</v>
      </c>
      <c r="I338" s="17">
        <v>1</v>
      </c>
      <c r="J338" s="15" t="s">
        <v>196</v>
      </c>
    </row>
    <row r="339" spans="2:10" x14ac:dyDescent="0.35">
      <c r="B339" s="15" t="s">
        <v>45</v>
      </c>
      <c r="C339" s="15" t="s">
        <v>9</v>
      </c>
      <c r="D339" s="15" t="s">
        <v>23</v>
      </c>
      <c r="E339" s="17">
        <v>1</v>
      </c>
      <c r="F339" s="17">
        <v>1</v>
      </c>
      <c r="G339" s="17">
        <v>1</v>
      </c>
      <c r="H339" s="17">
        <v>1</v>
      </c>
      <c r="I339" s="17">
        <v>1</v>
      </c>
      <c r="J339" s="15" t="s">
        <v>196</v>
      </c>
    </row>
    <row r="340" spans="2:10" x14ac:dyDescent="0.35">
      <c r="B340" s="15" t="s">
        <v>46</v>
      </c>
      <c r="C340" s="15" t="s">
        <v>9</v>
      </c>
      <c r="D340" s="15" t="s">
        <v>26</v>
      </c>
      <c r="E340" s="17">
        <v>1</v>
      </c>
      <c r="F340" s="17">
        <v>1</v>
      </c>
      <c r="G340" s="17">
        <v>1</v>
      </c>
      <c r="H340" s="17">
        <v>0</v>
      </c>
      <c r="I340" s="17">
        <v>0.75</v>
      </c>
      <c r="J340" s="15" t="s">
        <v>196</v>
      </c>
    </row>
    <row r="341" spans="2:10" x14ac:dyDescent="0.35">
      <c r="B341" s="15" t="s">
        <v>49</v>
      </c>
      <c r="C341" s="15" t="s">
        <v>9</v>
      </c>
      <c r="D341" s="15" t="s">
        <v>26</v>
      </c>
      <c r="E341" s="17">
        <v>1</v>
      </c>
      <c r="F341" s="17">
        <v>1</v>
      </c>
      <c r="G341" s="17">
        <v>1</v>
      </c>
      <c r="H341" s="17">
        <v>1</v>
      </c>
      <c r="I341" s="17">
        <v>1</v>
      </c>
      <c r="J341" s="15" t="s">
        <v>196</v>
      </c>
    </row>
    <row r="342" spans="2:10" x14ac:dyDescent="0.35">
      <c r="B342" s="15" t="s">
        <v>50</v>
      </c>
      <c r="C342" s="15" t="s">
        <v>9</v>
      </c>
      <c r="D342" s="15" t="s">
        <v>26</v>
      </c>
      <c r="E342" s="17">
        <v>1</v>
      </c>
      <c r="F342" s="17">
        <v>1</v>
      </c>
      <c r="G342" s="17">
        <v>1</v>
      </c>
      <c r="H342" s="17">
        <v>1</v>
      </c>
      <c r="I342" s="17">
        <v>1</v>
      </c>
      <c r="J342" s="15" t="s">
        <v>196</v>
      </c>
    </row>
    <row r="343" spans="2:10" x14ac:dyDescent="0.35">
      <c r="B343" s="15" t="s">
        <v>51</v>
      </c>
      <c r="C343" s="15" t="s">
        <v>9</v>
      </c>
      <c r="D343" s="15" t="s">
        <v>26</v>
      </c>
      <c r="E343" s="17">
        <v>1</v>
      </c>
      <c r="F343" s="17">
        <v>1</v>
      </c>
      <c r="G343" s="17">
        <v>1</v>
      </c>
      <c r="H343" s="17">
        <v>1</v>
      </c>
      <c r="I343" s="17">
        <v>1</v>
      </c>
      <c r="J343" s="15" t="s">
        <v>196</v>
      </c>
    </row>
    <row r="344" spans="2:10" x14ac:dyDescent="0.35">
      <c r="B344" s="15" t="s">
        <v>52</v>
      </c>
      <c r="C344" s="15" t="s">
        <v>9</v>
      </c>
      <c r="D344" s="15" t="s">
        <v>26</v>
      </c>
      <c r="E344" s="17">
        <v>1</v>
      </c>
      <c r="F344" s="17">
        <v>1</v>
      </c>
      <c r="G344" s="17">
        <v>1</v>
      </c>
      <c r="H344" s="17">
        <v>1</v>
      </c>
      <c r="I344" s="17">
        <v>1</v>
      </c>
      <c r="J344" s="15" t="s">
        <v>196</v>
      </c>
    </row>
    <row r="345" spans="2:10" x14ac:dyDescent="0.35">
      <c r="B345" s="15" t="s">
        <v>53</v>
      </c>
      <c r="C345" s="15" t="s">
        <v>9</v>
      </c>
      <c r="D345" s="15" t="s">
        <v>54</v>
      </c>
      <c r="E345" s="17">
        <v>1</v>
      </c>
      <c r="F345" s="17">
        <v>1</v>
      </c>
      <c r="G345" s="17">
        <v>1</v>
      </c>
      <c r="H345" s="17">
        <v>1</v>
      </c>
      <c r="I345" s="17">
        <v>1</v>
      </c>
      <c r="J345" s="15" t="s">
        <v>196</v>
      </c>
    </row>
    <row r="346" spans="2:10" x14ac:dyDescent="0.35">
      <c r="B346" s="15" t="s">
        <v>56</v>
      </c>
      <c r="C346" s="15" t="s">
        <v>9</v>
      </c>
      <c r="D346" s="15" t="s">
        <v>57</v>
      </c>
      <c r="E346" s="17">
        <v>1</v>
      </c>
      <c r="F346" s="17">
        <v>1</v>
      </c>
      <c r="G346" s="17">
        <v>1</v>
      </c>
      <c r="H346" s="17">
        <v>1</v>
      </c>
      <c r="I346" s="17">
        <v>1</v>
      </c>
      <c r="J346" s="15" t="s">
        <v>196</v>
      </c>
    </row>
    <row r="347" spans="2:10" x14ac:dyDescent="0.35">
      <c r="B347" s="15" t="s">
        <v>58</v>
      </c>
      <c r="C347" s="15" t="s">
        <v>9</v>
      </c>
      <c r="D347" s="15" t="s">
        <v>10</v>
      </c>
      <c r="E347" s="17">
        <v>1</v>
      </c>
      <c r="F347" s="17">
        <v>1</v>
      </c>
      <c r="G347" s="17">
        <v>1</v>
      </c>
      <c r="H347" s="17">
        <v>1</v>
      </c>
      <c r="I347" s="17">
        <v>1</v>
      </c>
      <c r="J347" s="15" t="s">
        <v>196</v>
      </c>
    </row>
    <row r="348" spans="2:10" x14ac:dyDescent="0.35">
      <c r="B348" s="15" t="s">
        <v>60</v>
      </c>
      <c r="C348" s="15" t="s">
        <v>9</v>
      </c>
      <c r="D348" s="15" t="s">
        <v>26</v>
      </c>
      <c r="E348" s="17">
        <v>1</v>
      </c>
      <c r="F348" s="17">
        <v>1</v>
      </c>
      <c r="G348" s="17">
        <v>1</v>
      </c>
      <c r="H348" s="17">
        <v>1</v>
      </c>
      <c r="I348" s="17">
        <v>1</v>
      </c>
      <c r="J348" s="15" t="s">
        <v>196</v>
      </c>
    </row>
    <row r="349" spans="2:10" x14ac:dyDescent="0.35">
      <c r="B349" s="15" t="s">
        <v>61</v>
      </c>
      <c r="C349" s="15" t="s">
        <v>9</v>
      </c>
      <c r="D349" s="15" t="s">
        <v>23</v>
      </c>
      <c r="E349" s="17">
        <v>1</v>
      </c>
      <c r="F349" s="17">
        <v>1</v>
      </c>
      <c r="G349" s="17">
        <v>1</v>
      </c>
      <c r="H349" s="17">
        <v>1</v>
      </c>
      <c r="I349" s="17">
        <v>1</v>
      </c>
      <c r="J349" s="15" t="s">
        <v>196</v>
      </c>
    </row>
    <row r="350" spans="2:10" x14ac:dyDescent="0.35">
      <c r="B350" s="15" t="s">
        <v>62</v>
      </c>
      <c r="C350" s="15" t="s">
        <v>9</v>
      </c>
      <c r="D350" s="15" t="s">
        <v>23</v>
      </c>
      <c r="E350" s="17">
        <v>1</v>
      </c>
      <c r="F350" s="17">
        <v>1</v>
      </c>
      <c r="G350" s="17">
        <v>1</v>
      </c>
      <c r="H350" s="17">
        <v>1</v>
      </c>
      <c r="I350" s="17">
        <v>1</v>
      </c>
      <c r="J350" s="15" t="s">
        <v>196</v>
      </c>
    </row>
    <row r="351" spans="2:10" x14ac:dyDescent="0.35">
      <c r="B351" s="15" t="s">
        <v>63</v>
      </c>
      <c r="C351" s="15" t="s">
        <v>9</v>
      </c>
      <c r="D351" s="15" t="s">
        <v>26</v>
      </c>
      <c r="E351" s="17">
        <v>1</v>
      </c>
      <c r="F351" s="17">
        <v>1</v>
      </c>
      <c r="G351" s="17">
        <v>1</v>
      </c>
      <c r="H351" s="17">
        <v>1</v>
      </c>
      <c r="I351" s="17">
        <v>1</v>
      </c>
      <c r="J351" s="15" t="s">
        <v>196</v>
      </c>
    </row>
    <row r="352" spans="2:10" x14ac:dyDescent="0.35">
      <c r="B352" s="15" t="s">
        <v>64</v>
      </c>
      <c r="C352" s="15" t="s">
        <v>9</v>
      </c>
      <c r="D352" s="15" t="s">
        <v>65</v>
      </c>
      <c r="E352" s="17">
        <v>1</v>
      </c>
      <c r="F352" s="17">
        <v>1</v>
      </c>
      <c r="G352" s="17">
        <v>1</v>
      </c>
      <c r="H352" s="17">
        <v>1</v>
      </c>
      <c r="I352" s="17">
        <v>1</v>
      </c>
      <c r="J352" s="15" t="s">
        <v>196</v>
      </c>
    </row>
    <row r="353" spans="2:10" x14ac:dyDescent="0.35">
      <c r="B353" s="15" t="s">
        <v>66</v>
      </c>
      <c r="C353" s="15" t="s">
        <v>9</v>
      </c>
      <c r="D353" s="15" t="s">
        <v>48</v>
      </c>
      <c r="E353" s="17">
        <v>1</v>
      </c>
      <c r="F353" s="17">
        <v>1</v>
      </c>
      <c r="G353" s="17">
        <v>1</v>
      </c>
      <c r="H353" s="17">
        <v>1</v>
      </c>
      <c r="I353" s="17">
        <v>1</v>
      </c>
      <c r="J353" s="15" t="s">
        <v>196</v>
      </c>
    </row>
    <row r="354" spans="2:10" x14ac:dyDescent="0.35">
      <c r="B354" s="15" t="s">
        <v>67</v>
      </c>
      <c r="C354" s="15" t="s">
        <v>9</v>
      </c>
      <c r="D354" s="15" t="s">
        <v>18</v>
      </c>
      <c r="E354" s="17">
        <v>1</v>
      </c>
      <c r="F354" s="17">
        <v>1</v>
      </c>
      <c r="G354" s="17">
        <v>1</v>
      </c>
      <c r="H354" s="17">
        <v>1</v>
      </c>
      <c r="I354" s="17">
        <v>1</v>
      </c>
      <c r="J354" s="15" t="s">
        <v>196</v>
      </c>
    </row>
    <row r="355" spans="2:10" x14ac:dyDescent="0.35">
      <c r="B355" s="15" t="s">
        <v>68</v>
      </c>
      <c r="C355" s="15" t="s">
        <v>9</v>
      </c>
      <c r="D355" s="15" t="s">
        <v>26</v>
      </c>
      <c r="E355" s="17">
        <v>1</v>
      </c>
      <c r="F355" s="17">
        <v>1</v>
      </c>
      <c r="G355" s="17">
        <v>1</v>
      </c>
      <c r="H355" s="17">
        <v>1</v>
      </c>
      <c r="I355" s="17">
        <v>1</v>
      </c>
      <c r="J355" s="15" t="s">
        <v>196</v>
      </c>
    </row>
    <row r="356" spans="2:10" x14ac:dyDescent="0.35">
      <c r="B356" s="15" t="s">
        <v>69</v>
      </c>
      <c r="C356" s="15" t="s">
        <v>9</v>
      </c>
      <c r="D356" s="15" t="s">
        <v>43</v>
      </c>
      <c r="E356" s="17">
        <v>1</v>
      </c>
      <c r="F356" s="17">
        <v>1</v>
      </c>
      <c r="G356" s="17">
        <v>1</v>
      </c>
      <c r="H356" s="17">
        <v>1</v>
      </c>
      <c r="I356" s="17">
        <v>1</v>
      </c>
      <c r="J356" s="15" t="s">
        <v>196</v>
      </c>
    </row>
    <row r="357" spans="2:10" x14ac:dyDescent="0.35">
      <c r="B357" s="15" t="s">
        <v>70</v>
      </c>
      <c r="C357" s="15" t="s">
        <v>9</v>
      </c>
      <c r="D357" s="15" t="s">
        <v>23</v>
      </c>
      <c r="E357" s="17">
        <v>1</v>
      </c>
      <c r="F357" s="17">
        <v>1</v>
      </c>
      <c r="G357" s="17">
        <v>1</v>
      </c>
      <c r="H357" s="17">
        <v>1</v>
      </c>
      <c r="I357" s="17">
        <v>1</v>
      </c>
      <c r="J357" s="15" t="s">
        <v>196</v>
      </c>
    </row>
    <row r="358" spans="2:10" x14ac:dyDescent="0.35">
      <c r="B358" s="15" t="s">
        <v>71</v>
      </c>
      <c r="C358" s="15" t="s">
        <v>9</v>
      </c>
      <c r="D358" s="15" t="s">
        <v>23</v>
      </c>
      <c r="E358" s="17">
        <v>1</v>
      </c>
      <c r="F358" s="17">
        <v>1</v>
      </c>
      <c r="G358" s="17">
        <v>1</v>
      </c>
      <c r="H358" s="17">
        <v>1</v>
      </c>
      <c r="I358" s="17">
        <v>1</v>
      </c>
      <c r="J358" s="15" t="s">
        <v>196</v>
      </c>
    </row>
    <row r="359" spans="2:10" x14ac:dyDescent="0.35">
      <c r="B359" s="15" t="s">
        <v>72</v>
      </c>
      <c r="C359" s="15" t="s">
        <v>9</v>
      </c>
      <c r="D359" s="15" t="s">
        <v>23</v>
      </c>
      <c r="E359" s="17">
        <v>1</v>
      </c>
      <c r="F359" s="17">
        <v>1</v>
      </c>
      <c r="G359" s="17">
        <v>1</v>
      </c>
      <c r="H359" s="17">
        <v>1</v>
      </c>
      <c r="I359" s="17">
        <v>1</v>
      </c>
      <c r="J359" s="15" t="s">
        <v>196</v>
      </c>
    </row>
    <row r="360" spans="2:10" x14ac:dyDescent="0.35">
      <c r="B360" s="15" t="s">
        <v>73</v>
      </c>
      <c r="C360" s="15" t="s">
        <v>74</v>
      </c>
      <c r="D360" s="15" t="s">
        <v>30</v>
      </c>
      <c r="E360" s="17">
        <v>1</v>
      </c>
      <c r="F360" s="17">
        <v>1</v>
      </c>
      <c r="G360" s="17">
        <v>1</v>
      </c>
      <c r="H360" s="17">
        <v>1</v>
      </c>
      <c r="I360" s="17">
        <v>1</v>
      </c>
      <c r="J360" s="15" t="s">
        <v>196</v>
      </c>
    </row>
    <row r="361" spans="2:10" x14ac:dyDescent="0.35">
      <c r="B361" s="15" t="s">
        <v>75</v>
      </c>
      <c r="C361" s="15" t="s">
        <v>74</v>
      </c>
      <c r="D361" s="15" t="s">
        <v>30</v>
      </c>
      <c r="E361" s="17">
        <v>1</v>
      </c>
      <c r="F361" s="17">
        <v>1</v>
      </c>
      <c r="G361" s="17">
        <v>1</v>
      </c>
      <c r="H361" s="17">
        <v>1</v>
      </c>
      <c r="I361" s="17">
        <v>1</v>
      </c>
      <c r="J361" s="15" t="s">
        <v>196</v>
      </c>
    </row>
    <row r="362" spans="2:10" x14ac:dyDescent="0.35">
      <c r="B362" s="15" t="s">
        <v>76</v>
      </c>
      <c r="C362" s="15" t="s">
        <v>74</v>
      </c>
      <c r="D362" s="15" t="s">
        <v>30</v>
      </c>
      <c r="E362" s="17">
        <v>1</v>
      </c>
      <c r="F362" s="17">
        <v>1</v>
      </c>
      <c r="G362" s="17">
        <v>1</v>
      </c>
      <c r="H362" s="17">
        <v>1</v>
      </c>
      <c r="I362" s="17">
        <v>1</v>
      </c>
      <c r="J362" s="15" t="s">
        <v>196</v>
      </c>
    </row>
    <row r="363" spans="2:10" x14ac:dyDescent="0.35">
      <c r="B363" s="15" t="s">
        <v>77</v>
      </c>
      <c r="C363" s="15" t="s">
        <v>74</v>
      </c>
      <c r="D363" s="15" t="s">
        <v>30</v>
      </c>
      <c r="E363" s="17">
        <v>1</v>
      </c>
      <c r="F363" s="17">
        <v>1</v>
      </c>
      <c r="G363" s="17">
        <v>1</v>
      </c>
      <c r="H363" s="17">
        <v>1</v>
      </c>
      <c r="I363" s="17">
        <v>1</v>
      </c>
      <c r="J363" s="15" t="s">
        <v>196</v>
      </c>
    </row>
    <row r="364" spans="2:10" x14ac:dyDescent="0.35">
      <c r="B364" s="15" t="s">
        <v>78</v>
      </c>
      <c r="C364" s="15" t="s">
        <v>9</v>
      </c>
      <c r="D364" s="15" t="s">
        <v>23</v>
      </c>
      <c r="E364" s="17">
        <v>1</v>
      </c>
      <c r="F364" s="17">
        <v>1</v>
      </c>
      <c r="G364" s="17">
        <v>1</v>
      </c>
      <c r="H364" s="17">
        <v>1</v>
      </c>
      <c r="I364" s="17">
        <v>1</v>
      </c>
      <c r="J364" s="15" t="s">
        <v>196</v>
      </c>
    </row>
    <row r="365" spans="2:10" x14ac:dyDescent="0.35">
      <c r="B365" s="15" t="s">
        <v>79</v>
      </c>
      <c r="C365" s="15" t="s">
        <v>9</v>
      </c>
      <c r="D365" s="15" t="s">
        <v>43</v>
      </c>
      <c r="E365" s="17">
        <v>1</v>
      </c>
      <c r="F365" s="17">
        <v>1</v>
      </c>
      <c r="G365" s="17">
        <v>1</v>
      </c>
      <c r="H365" s="17">
        <v>1</v>
      </c>
      <c r="I365" s="17">
        <v>1</v>
      </c>
      <c r="J365" s="15" t="s">
        <v>196</v>
      </c>
    </row>
    <row r="366" spans="2:10" x14ac:dyDescent="0.35">
      <c r="B366" s="15" t="s">
        <v>80</v>
      </c>
      <c r="C366" s="15" t="s">
        <v>9</v>
      </c>
      <c r="D366" s="15" t="s">
        <v>57</v>
      </c>
      <c r="E366" s="17">
        <v>1</v>
      </c>
      <c r="F366" s="17">
        <v>1</v>
      </c>
      <c r="G366" s="17">
        <v>1</v>
      </c>
      <c r="H366" s="17">
        <v>1</v>
      </c>
      <c r="I366" s="17">
        <v>1</v>
      </c>
      <c r="J366" s="15" t="s">
        <v>196</v>
      </c>
    </row>
    <row r="367" spans="2:10" x14ac:dyDescent="0.35">
      <c r="B367" s="15" t="s">
        <v>81</v>
      </c>
      <c r="C367" s="15" t="s">
        <v>9</v>
      </c>
      <c r="D367" s="15" t="s">
        <v>57</v>
      </c>
      <c r="E367" s="17">
        <v>1</v>
      </c>
      <c r="F367" s="17">
        <v>1</v>
      </c>
      <c r="G367" s="17">
        <v>1</v>
      </c>
      <c r="H367" s="17">
        <v>1</v>
      </c>
      <c r="I367" s="17">
        <v>1</v>
      </c>
      <c r="J367" s="15" t="s">
        <v>196</v>
      </c>
    </row>
    <row r="368" spans="2:10" x14ac:dyDescent="0.35">
      <c r="B368" s="15" t="s">
        <v>82</v>
      </c>
      <c r="C368" s="15" t="s">
        <v>9</v>
      </c>
      <c r="D368" s="15" t="s">
        <v>26</v>
      </c>
      <c r="E368" s="17">
        <v>1</v>
      </c>
      <c r="F368" s="17">
        <v>1</v>
      </c>
      <c r="G368" s="17">
        <v>1</v>
      </c>
      <c r="H368" s="17">
        <v>1</v>
      </c>
      <c r="I368" s="17">
        <v>1</v>
      </c>
      <c r="J368" s="15" t="s">
        <v>196</v>
      </c>
    </row>
    <row r="369" spans="2:10" x14ac:dyDescent="0.35">
      <c r="B369" s="15" t="s">
        <v>83</v>
      </c>
      <c r="C369" s="15" t="s">
        <v>84</v>
      </c>
      <c r="D369" s="15" t="s">
        <v>30</v>
      </c>
      <c r="E369" s="17">
        <v>1</v>
      </c>
      <c r="F369" s="17">
        <v>1</v>
      </c>
      <c r="G369" s="17">
        <v>1</v>
      </c>
      <c r="H369" s="17">
        <v>1</v>
      </c>
      <c r="I369" s="17">
        <v>1</v>
      </c>
      <c r="J369" s="15" t="s">
        <v>196</v>
      </c>
    </row>
    <row r="370" spans="2:10" x14ac:dyDescent="0.35">
      <c r="B370" s="15" t="s">
        <v>85</v>
      </c>
      <c r="C370" s="15" t="s">
        <v>84</v>
      </c>
      <c r="D370" s="15" t="s">
        <v>30</v>
      </c>
      <c r="E370" s="17">
        <v>1</v>
      </c>
      <c r="F370" s="17">
        <v>1</v>
      </c>
      <c r="G370" s="17">
        <v>1</v>
      </c>
      <c r="H370" s="17">
        <v>1</v>
      </c>
      <c r="I370" s="17">
        <v>1</v>
      </c>
      <c r="J370" s="15" t="s">
        <v>196</v>
      </c>
    </row>
    <row r="371" spans="2:10" x14ac:dyDescent="0.35">
      <c r="B371" s="15" t="s">
        <v>86</v>
      </c>
      <c r="C371" s="15" t="s">
        <v>84</v>
      </c>
      <c r="D371" s="15" t="s">
        <v>30</v>
      </c>
      <c r="E371" s="17">
        <v>1</v>
      </c>
      <c r="F371" s="17">
        <v>1</v>
      </c>
      <c r="G371" s="17">
        <v>1</v>
      </c>
      <c r="H371" s="17">
        <v>1</v>
      </c>
      <c r="I371" s="17">
        <v>1</v>
      </c>
      <c r="J371" s="15" t="s">
        <v>196</v>
      </c>
    </row>
    <row r="372" spans="2:10" x14ac:dyDescent="0.35">
      <c r="B372" s="15" t="s">
        <v>87</v>
      </c>
      <c r="C372" s="15" t="s">
        <v>84</v>
      </c>
      <c r="D372" s="15" t="s">
        <v>30</v>
      </c>
      <c r="E372" s="17">
        <v>1</v>
      </c>
      <c r="F372" s="17">
        <v>1</v>
      </c>
      <c r="G372" s="17">
        <v>1</v>
      </c>
      <c r="H372" s="17">
        <v>1</v>
      </c>
      <c r="I372" s="17">
        <v>1</v>
      </c>
      <c r="J372" s="15" t="s">
        <v>196</v>
      </c>
    </row>
    <row r="373" spans="2:10" x14ac:dyDescent="0.35">
      <c r="B373" s="15" t="s">
        <v>88</v>
      </c>
      <c r="C373" s="15" t="s">
        <v>84</v>
      </c>
      <c r="D373" s="15" t="s">
        <v>30</v>
      </c>
      <c r="E373" s="17">
        <v>1</v>
      </c>
      <c r="F373" s="17">
        <v>1</v>
      </c>
      <c r="G373" s="17">
        <v>1</v>
      </c>
      <c r="H373" s="17">
        <v>1</v>
      </c>
      <c r="I373" s="17">
        <v>1</v>
      </c>
      <c r="J373" s="15" t="s">
        <v>196</v>
      </c>
    </row>
    <row r="374" spans="2:10" x14ac:dyDescent="0.35">
      <c r="B374" s="15" t="s">
        <v>91</v>
      </c>
      <c r="C374" s="15" t="s">
        <v>9</v>
      </c>
      <c r="D374" s="15" t="s">
        <v>18</v>
      </c>
      <c r="E374" s="17">
        <v>1</v>
      </c>
      <c r="F374" s="17">
        <v>1</v>
      </c>
      <c r="G374" s="17">
        <v>1</v>
      </c>
      <c r="H374" s="17">
        <v>1</v>
      </c>
      <c r="I374" s="17">
        <v>1</v>
      </c>
      <c r="J374" s="15" t="s">
        <v>196</v>
      </c>
    </row>
    <row r="375" spans="2:10" x14ac:dyDescent="0.35">
      <c r="B375" s="15" t="s">
        <v>92</v>
      </c>
      <c r="C375" s="15" t="s">
        <v>9</v>
      </c>
      <c r="D375" s="15" t="s">
        <v>93</v>
      </c>
      <c r="E375" s="17">
        <v>1</v>
      </c>
      <c r="F375" s="17">
        <v>1</v>
      </c>
      <c r="G375" s="17">
        <v>1</v>
      </c>
      <c r="H375" s="17">
        <v>1</v>
      </c>
      <c r="I375" s="17">
        <v>1</v>
      </c>
      <c r="J375" s="15" t="s">
        <v>196</v>
      </c>
    </row>
    <row r="376" spans="2:10" x14ac:dyDescent="0.35">
      <c r="B376" s="15" t="s">
        <v>94</v>
      </c>
      <c r="C376" s="15" t="s">
        <v>9</v>
      </c>
      <c r="D376" s="15" t="s">
        <v>95</v>
      </c>
      <c r="E376" s="17">
        <v>1</v>
      </c>
      <c r="F376" s="17">
        <v>1</v>
      </c>
      <c r="G376" s="17">
        <v>1</v>
      </c>
      <c r="H376" s="17">
        <v>1</v>
      </c>
      <c r="I376" s="17">
        <v>1</v>
      </c>
      <c r="J376" s="15" t="s">
        <v>196</v>
      </c>
    </row>
    <row r="377" spans="2:10" x14ac:dyDescent="0.35">
      <c r="B377" s="15" t="s">
        <v>96</v>
      </c>
      <c r="C377" s="15" t="s">
        <v>9</v>
      </c>
      <c r="D377" s="15" t="s">
        <v>16</v>
      </c>
      <c r="E377" s="17">
        <v>1</v>
      </c>
      <c r="F377" s="17">
        <v>1</v>
      </c>
      <c r="G377" s="17">
        <v>1</v>
      </c>
      <c r="H377" s="17">
        <v>1</v>
      </c>
      <c r="I377" s="17">
        <v>1</v>
      </c>
      <c r="J377" s="15" t="s">
        <v>196</v>
      </c>
    </row>
    <row r="378" spans="2:10" x14ac:dyDescent="0.35">
      <c r="B378" s="15" t="s">
        <v>97</v>
      </c>
      <c r="C378" s="15" t="s">
        <v>9</v>
      </c>
      <c r="D378" s="15" t="s">
        <v>26</v>
      </c>
      <c r="E378" s="17">
        <v>1</v>
      </c>
      <c r="F378" s="17">
        <v>1</v>
      </c>
      <c r="G378" s="17">
        <v>1</v>
      </c>
      <c r="H378" s="17">
        <v>1</v>
      </c>
      <c r="I378" s="17">
        <v>1</v>
      </c>
      <c r="J378" s="15" t="s">
        <v>196</v>
      </c>
    </row>
    <row r="379" spans="2:10" x14ac:dyDescent="0.35">
      <c r="B379" s="15" t="s">
        <v>98</v>
      </c>
      <c r="C379" s="15" t="s">
        <v>9</v>
      </c>
      <c r="D379" s="15" t="s">
        <v>13</v>
      </c>
      <c r="E379" s="17">
        <v>1</v>
      </c>
      <c r="F379" s="17">
        <v>1</v>
      </c>
      <c r="G379" s="17">
        <v>1</v>
      </c>
      <c r="H379" s="17">
        <v>1</v>
      </c>
      <c r="I379" s="17">
        <v>1</v>
      </c>
      <c r="J379" s="15" t="s">
        <v>196</v>
      </c>
    </row>
    <row r="380" spans="2:10" x14ac:dyDescent="0.35">
      <c r="B380" s="15" t="s">
        <v>99</v>
      </c>
      <c r="C380" s="15" t="s">
        <v>9</v>
      </c>
      <c r="D380" s="15" t="s">
        <v>18</v>
      </c>
      <c r="E380" s="17">
        <v>1</v>
      </c>
      <c r="F380" s="17">
        <v>1</v>
      </c>
      <c r="G380" s="17">
        <v>1</v>
      </c>
      <c r="H380" s="17">
        <v>1</v>
      </c>
      <c r="I380" s="17">
        <v>1</v>
      </c>
      <c r="J380" s="15" t="s">
        <v>196</v>
      </c>
    </row>
    <row r="381" spans="2:10" x14ac:dyDescent="0.35">
      <c r="B381" s="15" t="s">
        <v>100</v>
      </c>
      <c r="C381" s="15" t="s">
        <v>9</v>
      </c>
      <c r="D381" s="15" t="s">
        <v>43</v>
      </c>
      <c r="E381" s="17">
        <v>0</v>
      </c>
      <c r="F381" s="17">
        <v>0.33333333333333331</v>
      </c>
      <c r="G381" s="17">
        <v>0</v>
      </c>
      <c r="H381" s="17">
        <v>0</v>
      </c>
      <c r="I381" s="17">
        <v>8.3333333333333329E-2</v>
      </c>
      <c r="J381" s="15" t="s">
        <v>196</v>
      </c>
    </row>
    <row r="382" spans="2:10" x14ac:dyDescent="0.35">
      <c r="B382" s="15" t="s">
        <v>101</v>
      </c>
      <c r="C382" s="15" t="s">
        <v>9</v>
      </c>
      <c r="D382" s="15" t="s">
        <v>23</v>
      </c>
      <c r="E382" s="17">
        <v>1</v>
      </c>
      <c r="F382" s="17">
        <v>1</v>
      </c>
      <c r="G382" s="17">
        <v>1</v>
      </c>
      <c r="H382" s="17">
        <v>1</v>
      </c>
      <c r="I382" s="17">
        <v>1</v>
      </c>
      <c r="J382" s="15" t="s">
        <v>196</v>
      </c>
    </row>
    <row r="383" spans="2:10" x14ac:dyDescent="0.35">
      <c r="B383" s="15" t="s">
        <v>103</v>
      </c>
      <c r="C383" s="15" t="s">
        <v>9</v>
      </c>
      <c r="D383" s="15" t="s">
        <v>26</v>
      </c>
      <c r="E383" s="17">
        <v>1</v>
      </c>
      <c r="F383" s="17">
        <v>1</v>
      </c>
      <c r="G383" s="17">
        <v>1</v>
      </c>
      <c r="H383" s="17">
        <v>1</v>
      </c>
      <c r="I383" s="17">
        <v>1</v>
      </c>
      <c r="J383" s="15" t="s">
        <v>196</v>
      </c>
    </row>
    <row r="384" spans="2:10" x14ac:dyDescent="0.35">
      <c r="B384" s="15" t="s">
        <v>104</v>
      </c>
      <c r="C384" s="15" t="s">
        <v>9</v>
      </c>
      <c r="D384" s="15" t="s">
        <v>48</v>
      </c>
      <c r="E384" s="17">
        <v>1</v>
      </c>
      <c r="F384" s="17">
        <v>1</v>
      </c>
      <c r="G384" s="17">
        <v>1</v>
      </c>
      <c r="H384" s="17">
        <v>1</v>
      </c>
      <c r="I384" s="17">
        <v>1</v>
      </c>
      <c r="J384" s="15" t="s">
        <v>196</v>
      </c>
    </row>
    <row r="385" spans="2:10" x14ac:dyDescent="0.35">
      <c r="B385" s="15" t="s">
        <v>105</v>
      </c>
      <c r="C385" s="15" t="s">
        <v>9</v>
      </c>
      <c r="D385" s="15" t="s">
        <v>26</v>
      </c>
      <c r="E385" s="17">
        <v>1</v>
      </c>
      <c r="F385" s="17">
        <v>1</v>
      </c>
      <c r="G385" s="17">
        <v>1</v>
      </c>
      <c r="H385" s="17">
        <v>1</v>
      </c>
      <c r="I385" s="17">
        <v>1</v>
      </c>
      <c r="J385" s="15" t="s">
        <v>196</v>
      </c>
    </row>
    <row r="386" spans="2:10" x14ac:dyDescent="0.35">
      <c r="B386" s="15" t="s">
        <v>106</v>
      </c>
      <c r="C386" s="15" t="s">
        <v>9</v>
      </c>
      <c r="D386" s="15" t="s">
        <v>26</v>
      </c>
      <c r="E386" s="17">
        <v>1</v>
      </c>
      <c r="F386" s="17">
        <v>1</v>
      </c>
      <c r="G386" s="17">
        <v>1</v>
      </c>
      <c r="H386" s="17">
        <v>0.5</v>
      </c>
      <c r="I386" s="17">
        <v>0.875</v>
      </c>
      <c r="J386" s="15" t="s">
        <v>196</v>
      </c>
    </row>
    <row r="387" spans="2:10" x14ac:dyDescent="0.35">
      <c r="B387" s="15" t="s">
        <v>108</v>
      </c>
      <c r="C387" s="15" t="s">
        <v>9</v>
      </c>
      <c r="D387" s="15" t="s">
        <v>23</v>
      </c>
      <c r="E387" s="17">
        <v>1</v>
      </c>
      <c r="F387" s="17">
        <v>1</v>
      </c>
      <c r="G387" s="17">
        <v>1</v>
      </c>
      <c r="H387" s="17">
        <v>1</v>
      </c>
      <c r="I387" s="17">
        <v>1</v>
      </c>
      <c r="J387" s="15" t="s">
        <v>196</v>
      </c>
    </row>
    <row r="388" spans="2:10" x14ac:dyDescent="0.35">
      <c r="B388" s="15" t="s">
        <v>110</v>
      </c>
      <c r="C388" s="15" t="s">
        <v>9</v>
      </c>
      <c r="D388" s="15" t="s">
        <v>43</v>
      </c>
      <c r="E388" s="17">
        <v>1</v>
      </c>
      <c r="F388" s="17">
        <v>1</v>
      </c>
      <c r="G388" s="17">
        <v>1</v>
      </c>
      <c r="H388" s="17">
        <v>1</v>
      </c>
      <c r="I388" s="17">
        <v>1</v>
      </c>
      <c r="J388" s="15" t="s">
        <v>196</v>
      </c>
    </row>
    <row r="389" spans="2:10" x14ac:dyDescent="0.35">
      <c r="B389" s="15" t="s">
        <v>111</v>
      </c>
      <c r="C389" s="15" t="s">
        <v>9</v>
      </c>
      <c r="D389" s="15" t="s">
        <v>95</v>
      </c>
      <c r="E389" s="17">
        <v>1</v>
      </c>
      <c r="F389" s="17">
        <v>1</v>
      </c>
      <c r="G389" s="17">
        <v>1</v>
      </c>
      <c r="H389" s="17">
        <v>1</v>
      </c>
      <c r="I389" s="17">
        <v>1</v>
      </c>
      <c r="J389" s="15" t="s">
        <v>196</v>
      </c>
    </row>
    <row r="390" spans="2:10" x14ac:dyDescent="0.35">
      <c r="B390" s="15" t="s">
        <v>112</v>
      </c>
      <c r="C390" s="15" t="s">
        <v>9</v>
      </c>
      <c r="D390" s="15" t="s">
        <v>18</v>
      </c>
      <c r="E390" s="17">
        <v>1</v>
      </c>
      <c r="F390" s="17">
        <v>1</v>
      </c>
      <c r="G390" s="17">
        <v>1</v>
      </c>
      <c r="H390" s="17">
        <v>1</v>
      </c>
      <c r="I390" s="17">
        <v>1</v>
      </c>
      <c r="J390" s="15" t="s">
        <v>196</v>
      </c>
    </row>
    <row r="391" spans="2:10" x14ac:dyDescent="0.35">
      <c r="B391" s="15" t="s">
        <v>113</v>
      </c>
      <c r="C391" s="15" t="s">
        <v>9</v>
      </c>
      <c r="D391" s="15" t="s">
        <v>114</v>
      </c>
      <c r="E391" s="17">
        <v>1</v>
      </c>
      <c r="F391" s="17">
        <v>1</v>
      </c>
      <c r="G391" s="17">
        <v>1</v>
      </c>
      <c r="H391" s="17">
        <v>1</v>
      </c>
      <c r="I391" s="17">
        <v>1</v>
      </c>
      <c r="J391" s="15" t="s">
        <v>196</v>
      </c>
    </row>
    <row r="392" spans="2:10" x14ac:dyDescent="0.35">
      <c r="B392" s="15" t="s">
        <v>115</v>
      </c>
      <c r="C392" s="15" t="s">
        <v>9</v>
      </c>
      <c r="D392" s="15" t="s">
        <v>26</v>
      </c>
      <c r="E392" s="17">
        <v>1</v>
      </c>
      <c r="F392" s="17">
        <v>1</v>
      </c>
      <c r="G392" s="17">
        <v>1</v>
      </c>
      <c r="H392" s="17">
        <v>1</v>
      </c>
      <c r="I392" s="17">
        <v>1</v>
      </c>
      <c r="J392" s="15" t="s">
        <v>196</v>
      </c>
    </row>
    <row r="393" spans="2:10" x14ac:dyDescent="0.35">
      <c r="B393" s="15" t="s">
        <v>116</v>
      </c>
      <c r="C393" s="15" t="s">
        <v>9</v>
      </c>
      <c r="D393" s="15" t="s">
        <v>43</v>
      </c>
      <c r="E393" s="17">
        <v>1</v>
      </c>
      <c r="F393" s="17">
        <v>1</v>
      </c>
      <c r="G393" s="17">
        <v>1</v>
      </c>
      <c r="H393" s="17">
        <v>1</v>
      </c>
      <c r="I393" s="17">
        <v>1</v>
      </c>
      <c r="J393" s="15" t="s">
        <v>196</v>
      </c>
    </row>
    <row r="394" spans="2:10" x14ac:dyDescent="0.35">
      <c r="B394" s="15" t="s">
        <v>117</v>
      </c>
      <c r="C394" s="15" t="s">
        <v>9</v>
      </c>
      <c r="D394" s="15" t="s">
        <v>23</v>
      </c>
      <c r="E394" s="17">
        <v>1</v>
      </c>
      <c r="F394" s="17">
        <v>1</v>
      </c>
      <c r="G394" s="17">
        <v>1</v>
      </c>
      <c r="H394" s="17">
        <v>1</v>
      </c>
      <c r="I394" s="17">
        <v>1</v>
      </c>
      <c r="J394" s="15" t="s">
        <v>196</v>
      </c>
    </row>
    <row r="395" spans="2:10" x14ac:dyDescent="0.35">
      <c r="B395" s="15" t="s">
        <v>118</v>
      </c>
      <c r="C395" s="15" t="s">
        <v>9</v>
      </c>
      <c r="D395" s="15" t="s">
        <v>119</v>
      </c>
      <c r="E395" s="17">
        <v>1</v>
      </c>
      <c r="F395" s="17">
        <v>1</v>
      </c>
      <c r="G395" s="17">
        <v>1</v>
      </c>
      <c r="H395" s="17">
        <v>1</v>
      </c>
      <c r="I395" s="17">
        <v>1</v>
      </c>
      <c r="J395" s="15" t="s">
        <v>196</v>
      </c>
    </row>
    <row r="396" spans="2:10" x14ac:dyDescent="0.35">
      <c r="B396" s="15" t="s">
        <v>120</v>
      </c>
      <c r="C396" s="15" t="s">
        <v>9</v>
      </c>
      <c r="D396" s="15" t="s">
        <v>114</v>
      </c>
      <c r="E396" s="17">
        <v>1</v>
      </c>
      <c r="F396" s="17">
        <v>1</v>
      </c>
      <c r="G396" s="17">
        <v>1</v>
      </c>
      <c r="H396" s="17">
        <v>1</v>
      </c>
      <c r="I396" s="17">
        <v>1</v>
      </c>
      <c r="J396" s="15" t="s">
        <v>196</v>
      </c>
    </row>
    <row r="397" spans="2:10" x14ac:dyDescent="0.35">
      <c r="B397" s="15" t="s">
        <v>121</v>
      </c>
      <c r="C397" s="15" t="s">
        <v>9</v>
      </c>
      <c r="D397" s="15" t="s">
        <v>114</v>
      </c>
      <c r="E397" s="17">
        <v>1</v>
      </c>
      <c r="F397" s="17">
        <v>1</v>
      </c>
      <c r="G397" s="17">
        <v>1</v>
      </c>
      <c r="H397" s="17">
        <v>1</v>
      </c>
      <c r="I397" s="17">
        <v>1</v>
      </c>
      <c r="J397" s="15" t="s">
        <v>196</v>
      </c>
    </row>
    <row r="398" spans="2:10" x14ac:dyDescent="0.35">
      <c r="B398" s="15" t="s">
        <v>122</v>
      </c>
      <c r="C398" s="15" t="s">
        <v>9</v>
      </c>
      <c r="D398" s="15" t="s">
        <v>114</v>
      </c>
      <c r="E398" s="17">
        <v>1</v>
      </c>
      <c r="F398" s="17">
        <v>1</v>
      </c>
      <c r="G398" s="17">
        <v>1</v>
      </c>
      <c r="H398" s="17">
        <v>1</v>
      </c>
      <c r="I398" s="17">
        <v>1</v>
      </c>
      <c r="J398" s="15" t="s">
        <v>196</v>
      </c>
    </row>
    <row r="399" spans="2:10" x14ac:dyDescent="0.35">
      <c r="B399" s="15" t="s">
        <v>123</v>
      </c>
      <c r="C399" s="15" t="s">
        <v>9</v>
      </c>
      <c r="D399" s="15" t="s">
        <v>23</v>
      </c>
      <c r="E399" s="17">
        <v>1</v>
      </c>
      <c r="F399" s="17">
        <v>1</v>
      </c>
      <c r="G399" s="17">
        <v>1</v>
      </c>
      <c r="H399" s="17">
        <v>1</v>
      </c>
      <c r="I399" s="17">
        <v>1</v>
      </c>
      <c r="J399" s="15" t="s">
        <v>196</v>
      </c>
    </row>
    <row r="400" spans="2:10" x14ac:dyDescent="0.35">
      <c r="B400" s="15" t="s">
        <v>124</v>
      </c>
      <c r="C400" s="15" t="s">
        <v>9</v>
      </c>
      <c r="D400" s="15" t="s">
        <v>119</v>
      </c>
      <c r="E400" s="17">
        <v>1</v>
      </c>
      <c r="F400" s="17">
        <v>1</v>
      </c>
      <c r="G400" s="17">
        <v>1</v>
      </c>
      <c r="H400" s="17">
        <v>1</v>
      </c>
      <c r="I400" s="17">
        <v>1</v>
      </c>
      <c r="J400" s="15" t="s">
        <v>196</v>
      </c>
    </row>
    <row r="401" spans="2:10" x14ac:dyDescent="0.35">
      <c r="B401" s="15" t="s">
        <v>125</v>
      </c>
      <c r="C401" s="15" t="s">
        <v>9</v>
      </c>
      <c r="D401" s="15" t="s">
        <v>43</v>
      </c>
      <c r="E401" s="17">
        <v>1</v>
      </c>
      <c r="F401" s="17">
        <v>1</v>
      </c>
      <c r="G401" s="17">
        <v>1</v>
      </c>
      <c r="H401" s="17">
        <v>1</v>
      </c>
      <c r="I401" s="17">
        <v>1</v>
      </c>
      <c r="J401" s="15" t="s">
        <v>196</v>
      </c>
    </row>
    <row r="402" spans="2:10" x14ac:dyDescent="0.35">
      <c r="B402" s="15" t="s">
        <v>126</v>
      </c>
      <c r="C402" s="15" t="s">
        <v>9</v>
      </c>
      <c r="D402" s="15" t="s">
        <v>54</v>
      </c>
      <c r="E402" s="17">
        <v>1</v>
      </c>
      <c r="F402" s="17">
        <v>1</v>
      </c>
      <c r="G402" s="17">
        <v>1</v>
      </c>
      <c r="H402" s="17">
        <v>1</v>
      </c>
      <c r="I402" s="17">
        <v>1</v>
      </c>
      <c r="J402" s="15" t="s">
        <v>196</v>
      </c>
    </row>
    <row r="403" spans="2:10" x14ac:dyDescent="0.35">
      <c r="B403" s="15" t="s">
        <v>127</v>
      </c>
      <c r="C403" s="15" t="s">
        <v>9</v>
      </c>
      <c r="D403" s="15" t="s">
        <v>26</v>
      </c>
      <c r="E403" s="17">
        <v>1</v>
      </c>
      <c r="F403" s="17">
        <v>1</v>
      </c>
      <c r="G403" s="17">
        <v>1</v>
      </c>
      <c r="H403" s="17">
        <v>1</v>
      </c>
      <c r="I403" s="17">
        <v>1</v>
      </c>
      <c r="J403" s="15" t="s">
        <v>196</v>
      </c>
    </row>
    <row r="404" spans="2:10" x14ac:dyDescent="0.35">
      <c r="B404" s="15" t="s">
        <v>129</v>
      </c>
      <c r="C404" s="15" t="s">
        <v>130</v>
      </c>
      <c r="D404" s="15" t="s">
        <v>30</v>
      </c>
      <c r="E404" s="17">
        <v>1</v>
      </c>
      <c r="F404" s="17">
        <v>1</v>
      </c>
      <c r="G404" s="17">
        <v>1</v>
      </c>
      <c r="H404" s="17">
        <v>1</v>
      </c>
      <c r="I404" s="17">
        <v>1</v>
      </c>
      <c r="J404" s="15" t="s">
        <v>196</v>
      </c>
    </row>
    <row r="405" spans="2:10" x14ac:dyDescent="0.35">
      <c r="B405" s="15" t="s">
        <v>131</v>
      </c>
      <c r="C405" s="15" t="s">
        <v>9</v>
      </c>
      <c r="D405" s="15" t="s">
        <v>54</v>
      </c>
      <c r="E405" s="17">
        <v>0.66666666666666663</v>
      </c>
      <c r="F405" s="17">
        <v>1</v>
      </c>
      <c r="G405" s="17">
        <v>1</v>
      </c>
      <c r="H405" s="17">
        <v>1</v>
      </c>
      <c r="I405" s="17">
        <v>0.91666666666666663</v>
      </c>
      <c r="J405" s="15" t="s">
        <v>196</v>
      </c>
    </row>
    <row r="406" spans="2:10" x14ac:dyDescent="0.35">
      <c r="B406" s="15" t="s">
        <v>132</v>
      </c>
      <c r="C406" s="15" t="s">
        <v>9</v>
      </c>
      <c r="D406" s="15" t="s">
        <v>54</v>
      </c>
      <c r="E406" s="17">
        <v>1</v>
      </c>
      <c r="F406" s="17">
        <v>1</v>
      </c>
      <c r="G406" s="17">
        <v>1</v>
      </c>
      <c r="H406" s="17">
        <v>1</v>
      </c>
      <c r="I406" s="17">
        <v>1</v>
      </c>
      <c r="J406" s="15" t="s">
        <v>196</v>
      </c>
    </row>
    <row r="407" spans="2:10" x14ac:dyDescent="0.35">
      <c r="B407" s="15" t="s">
        <v>133</v>
      </c>
      <c r="C407" s="15" t="s">
        <v>9</v>
      </c>
      <c r="D407" s="15" t="s">
        <v>43</v>
      </c>
      <c r="E407" s="17">
        <v>1</v>
      </c>
      <c r="F407" s="17">
        <v>1</v>
      </c>
      <c r="G407" s="17">
        <v>1</v>
      </c>
      <c r="H407" s="17">
        <v>1</v>
      </c>
      <c r="I407" s="17">
        <v>1</v>
      </c>
      <c r="J407" s="15" t="s">
        <v>196</v>
      </c>
    </row>
    <row r="408" spans="2:10" x14ac:dyDescent="0.35">
      <c r="B408" s="15" t="s">
        <v>134</v>
      </c>
      <c r="C408" s="15" t="s">
        <v>9</v>
      </c>
      <c r="D408" s="15" t="s">
        <v>10</v>
      </c>
      <c r="E408" s="17">
        <v>0.5</v>
      </c>
      <c r="F408" s="17">
        <v>0.75</v>
      </c>
      <c r="G408" s="17">
        <v>0.75</v>
      </c>
      <c r="H408" s="17">
        <v>0.75</v>
      </c>
      <c r="I408" s="17">
        <v>0.6875</v>
      </c>
      <c r="J408" s="15" t="s">
        <v>196</v>
      </c>
    </row>
    <row r="409" spans="2:10" x14ac:dyDescent="0.35">
      <c r="B409" s="15" t="s">
        <v>135</v>
      </c>
      <c r="C409" s="15" t="s">
        <v>9</v>
      </c>
      <c r="D409" s="15" t="s">
        <v>43</v>
      </c>
      <c r="E409" s="17">
        <v>1</v>
      </c>
      <c r="F409" s="17">
        <v>1</v>
      </c>
      <c r="G409" s="17">
        <v>1</v>
      </c>
      <c r="H409" s="17">
        <v>1</v>
      </c>
      <c r="I409" s="17">
        <v>1</v>
      </c>
      <c r="J409" s="15" t="s">
        <v>196</v>
      </c>
    </row>
    <row r="410" spans="2:10" x14ac:dyDescent="0.35">
      <c r="B410" s="15" t="s">
        <v>136</v>
      </c>
      <c r="C410" s="15" t="s">
        <v>9</v>
      </c>
      <c r="D410" s="15" t="s">
        <v>119</v>
      </c>
      <c r="E410" s="17">
        <v>1</v>
      </c>
      <c r="F410" s="17">
        <v>1</v>
      </c>
      <c r="G410" s="17">
        <v>1</v>
      </c>
      <c r="H410" s="17">
        <v>1</v>
      </c>
      <c r="I410" s="17">
        <v>1</v>
      </c>
      <c r="J410" s="15" t="s">
        <v>196</v>
      </c>
    </row>
    <row r="411" spans="2:10" x14ac:dyDescent="0.35">
      <c r="B411" s="15" t="s">
        <v>137</v>
      </c>
      <c r="C411" s="15" t="s">
        <v>9</v>
      </c>
      <c r="D411" s="15" t="s">
        <v>95</v>
      </c>
      <c r="E411" s="17">
        <v>1</v>
      </c>
      <c r="F411" s="17">
        <v>1</v>
      </c>
      <c r="G411" s="17">
        <v>1</v>
      </c>
      <c r="H411" s="17">
        <v>1</v>
      </c>
      <c r="I411" s="17">
        <v>1</v>
      </c>
      <c r="J411" s="15" t="s">
        <v>196</v>
      </c>
    </row>
    <row r="412" spans="2:10" x14ac:dyDescent="0.35">
      <c r="B412" s="15" t="s">
        <v>138</v>
      </c>
      <c r="C412" s="15" t="s">
        <v>9</v>
      </c>
      <c r="D412" s="15" t="s">
        <v>13</v>
      </c>
      <c r="E412" s="17">
        <v>1</v>
      </c>
      <c r="F412" s="17">
        <v>1</v>
      </c>
      <c r="G412" s="17">
        <v>1</v>
      </c>
      <c r="H412" s="17">
        <v>1</v>
      </c>
      <c r="I412" s="17">
        <v>1</v>
      </c>
      <c r="J412" s="15" t="s">
        <v>196</v>
      </c>
    </row>
    <row r="413" spans="2:10" x14ac:dyDescent="0.35">
      <c r="B413" s="15" t="s">
        <v>139</v>
      </c>
      <c r="C413" s="15" t="s">
        <v>9</v>
      </c>
      <c r="D413" s="15" t="s">
        <v>10</v>
      </c>
      <c r="E413" s="17">
        <v>1</v>
      </c>
      <c r="F413" s="17">
        <v>1</v>
      </c>
      <c r="G413" s="17">
        <v>1</v>
      </c>
      <c r="H413" s="17">
        <v>1</v>
      </c>
      <c r="I413" s="17">
        <v>1</v>
      </c>
      <c r="J413" s="15" t="s">
        <v>196</v>
      </c>
    </row>
    <row r="414" spans="2:10" x14ac:dyDescent="0.35">
      <c r="B414" s="15" t="s">
        <v>140</v>
      </c>
      <c r="C414" s="15" t="s">
        <v>9</v>
      </c>
      <c r="D414" s="15" t="s">
        <v>10</v>
      </c>
      <c r="E414" s="17">
        <v>1</v>
      </c>
      <c r="F414" s="17">
        <v>1</v>
      </c>
      <c r="G414" s="17">
        <v>1</v>
      </c>
      <c r="H414" s="17">
        <v>1</v>
      </c>
      <c r="I414" s="17">
        <v>1</v>
      </c>
      <c r="J414" s="15" t="s">
        <v>196</v>
      </c>
    </row>
    <row r="415" spans="2:10" x14ac:dyDescent="0.35">
      <c r="B415" s="15" t="s">
        <v>141</v>
      </c>
      <c r="C415" s="15" t="s">
        <v>9</v>
      </c>
      <c r="D415" s="15" t="s">
        <v>114</v>
      </c>
      <c r="E415" s="17">
        <v>1</v>
      </c>
      <c r="F415" s="17">
        <v>1</v>
      </c>
      <c r="G415" s="17">
        <v>1</v>
      </c>
      <c r="H415" s="17">
        <v>1</v>
      </c>
      <c r="I415" s="17">
        <v>1</v>
      </c>
      <c r="J415" s="15" t="s">
        <v>196</v>
      </c>
    </row>
    <row r="416" spans="2:10" x14ac:dyDescent="0.35">
      <c r="B416" s="15" t="s">
        <v>142</v>
      </c>
      <c r="C416" s="15" t="s">
        <v>9</v>
      </c>
      <c r="D416" s="15" t="s">
        <v>16</v>
      </c>
      <c r="E416" s="17">
        <v>1</v>
      </c>
      <c r="F416" s="17">
        <v>1</v>
      </c>
      <c r="G416" s="17">
        <v>1</v>
      </c>
      <c r="H416" s="17">
        <v>1</v>
      </c>
      <c r="I416" s="17">
        <v>1</v>
      </c>
      <c r="J416" s="15" t="s">
        <v>196</v>
      </c>
    </row>
    <row r="417" spans="2:10" x14ac:dyDescent="0.35">
      <c r="B417" s="15" t="s">
        <v>143</v>
      </c>
      <c r="C417" s="15" t="s">
        <v>9</v>
      </c>
      <c r="D417" s="15" t="s">
        <v>13</v>
      </c>
      <c r="E417" s="17">
        <v>1</v>
      </c>
      <c r="F417" s="17">
        <v>1</v>
      </c>
      <c r="G417" s="17">
        <v>1</v>
      </c>
      <c r="H417" s="17">
        <v>1</v>
      </c>
      <c r="I417" s="17">
        <v>1</v>
      </c>
      <c r="J417" s="15" t="s">
        <v>196</v>
      </c>
    </row>
    <row r="418" spans="2:10" x14ac:dyDescent="0.35">
      <c r="B418" s="15" t="s">
        <v>144</v>
      </c>
      <c r="C418" s="15" t="s">
        <v>9</v>
      </c>
      <c r="D418" s="15" t="s">
        <v>114</v>
      </c>
      <c r="E418" s="17">
        <v>1</v>
      </c>
      <c r="F418" s="17">
        <v>1</v>
      </c>
      <c r="G418" s="17">
        <v>1</v>
      </c>
      <c r="H418" s="17">
        <v>1</v>
      </c>
      <c r="I418" s="17">
        <v>1</v>
      </c>
      <c r="J418" s="15" t="s">
        <v>196</v>
      </c>
    </row>
    <row r="419" spans="2:10" x14ac:dyDescent="0.35">
      <c r="B419" s="15" t="s">
        <v>145</v>
      </c>
      <c r="C419" s="15" t="s">
        <v>9</v>
      </c>
      <c r="D419" s="15" t="s">
        <v>23</v>
      </c>
      <c r="E419" s="17">
        <v>1</v>
      </c>
      <c r="F419" s="17">
        <v>1</v>
      </c>
      <c r="G419" s="17">
        <v>1</v>
      </c>
      <c r="H419" s="17">
        <v>1</v>
      </c>
      <c r="I419" s="17">
        <v>1</v>
      </c>
      <c r="J419" s="15" t="s">
        <v>196</v>
      </c>
    </row>
    <row r="420" spans="2:10" x14ac:dyDescent="0.35">
      <c r="B420" s="15" t="s">
        <v>146</v>
      </c>
      <c r="C420" s="15" t="s">
        <v>9</v>
      </c>
      <c r="D420" s="15" t="s">
        <v>23</v>
      </c>
      <c r="E420" s="17">
        <v>1</v>
      </c>
      <c r="F420" s="17">
        <v>1</v>
      </c>
      <c r="G420" s="17">
        <v>1</v>
      </c>
      <c r="H420" s="17">
        <v>1</v>
      </c>
      <c r="I420" s="17">
        <v>1</v>
      </c>
      <c r="J420" s="15" t="s">
        <v>196</v>
      </c>
    </row>
    <row r="421" spans="2:10" x14ac:dyDescent="0.35">
      <c r="B421" s="15" t="s">
        <v>148</v>
      </c>
      <c r="C421" s="15" t="s">
        <v>9</v>
      </c>
      <c r="D421" s="15" t="s">
        <v>26</v>
      </c>
      <c r="E421" s="17">
        <v>1</v>
      </c>
      <c r="F421" s="17">
        <v>1</v>
      </c>
      <c r="G421" s="17">
        <v>1</v>
      </c>
      <c r="H421" s="17">
        <v>1</v>
      </c>
      <c r="I421" s="17">
        <v>1</v>
      </c>
      <c r="J421" s="15" t="s">
        <v>196</v>
      </c>
    </row>
    <row r="422" spans="2:10" x14ac:dyDescent="0.35">
      <c r="B422" s="15" t="s">
        <v>149</v>
      </c>
      <c r="C422" s="15" t="s">
        <v>9</v>
      </c>
      <c r="D422" s="15" t="s">
        <v>119</v>
      </c>
      <c r="E422" s="17">
        <v>1</v>
      </c>
      <c r="F422" s="17">
        <v>1</v>
      </c>
      <c r="G422" s="17">
        <v>1</v>
      </c>
      <c r="H422" s="17">
        <v>1</v>
      </c>
      <c r="I422" s="17">
        <v>1</v>
      </c>
      <c r="J422" s="15" t="s">
        <v>196</v>
      </c>
    </row>
    <row r="423" spans="2:10" x14ac:dyDescent="0.35">
      <c r="B423" s="15" t="s">
        <v>150</v>
      </c>
      <c r="C423" s="15" t="s">
        <v>9</v>
      </c>
      <c r="D423" s="15" t="s">
        <v>54</v>
      </c>
      <c r="E423" s="17">
        <v>1</v>
      </c>
      <c r="F423" s="17">
        <v>1</v>
      </c>
      <c r="G423" s="17">
        <v>1</v>
      </c>
      <c r="H423" s="17">
        <v>1</v>
      </c>
      <c r="I423" s="17">
        <v>1</v>
      </c>
      <c r="J423" s="15" t="s">
        <v>196</v>
      </c>
    </row>
    <row r="424" spans="2:10" x14ac:dyDescent="0.35">
      <c r="B424" s="15" t="s">
        <v>151</v>
      </c>
      <c r="C424" s="15" t="s">
        <v>9</v>
      </c>
      <c r="D424" s="15" t="s">
        <v>23</v>
      </c>
      <c r="E424" s="17">
        <v>1</v>
      </c>
      <c r="F424" s="17">
        <v>1</v>
      </c>
      <c r="G424" s="17">
        <v>1</v>
      </c>
      <c r="H424" s="17">
        <v>1</v>
      </c>
      <c r="I424" s="17">
        <v>1</v>
      </c>
      <c r="J424" s="15" t="s">
        <v>196</v>
      </c>
    </row>
    <row r="425" spans="2:10" x14ac:dyDescent="0.35">
      <c r="B425" s="15" t="s">
        <v>153</v>
      </c>
      <c r="C425" s="15" t="s">
        <v>9</v>
      </c>
      <c r="D425" s="15" t="s">
        <v>13</v>
      </c>
      <c r="E425" s="17">
        <v>1</v>
      </c>
      <c r="F425" s="17">
        <v>1</v>
      </c>
      <c r="G425" s="17">
        <v>1</v>
      </c>
      <c r="H425" s="17">
        <v>1</v>
      </c>
      <c r="I425" s="17">
        <v>1</v>
      </c>
      <c r="J425" s="15" t="s">
        <v>196</v>
      </c>
    </row>
    <row r="426" spans="2:10" x14ac:dyDescent="0.35">
      <c r="B426" s="15" t="s">
        <v>154</v>
      </c>
      <c r="C426" s="15" t="s">
        <v>155</v>
      </c>
      <c r="D426" s="15" t="s">
        <v>30</v>
      </c>
      <c r="E426" s="17">
        <v>1</v>
      </c>
      <c r="F426" s="17">
        <v>1</v>
      </c>
      <c r="G426" s="17">
        <v>1</v>
      </c>
      <c r="H426" s="17">
        <v>1</v>
      </c>
      <c r="I426" s="17">
        <v>1</v>
      </c>
      <c r="J426" s="15" t="s">
        <v>196</v>
      </c>
    </row>
    <row r="427" spans="2:10" x14ac:dyDescent="0.35">
      <c r="B427" s="15" t="s">
        <v>156</v>
      </c>
      <c r="C427" s="15" t="s">
        <v>155</v>
      </c>
      <c r="D427" s="15" t="s">
        <v>30</v>
      </c>
      <c r="E427" s="17">
        <v>1</v>
      </c>
      <c r="F427" s="17">
        <v>1</v>
      </c>
      <c r="G427" s="17">
        <v>1</v>
      </c>
      <c r="H427" s="17">
        <v>1</v>
      </c>
      <c r="I427" s="17">
        <v>1</v>
      </c>
      <c r="J427" s="15" t="s">
        <v>196</v>
      </c>
    </row>
    <row r="428" spans="2:10" x14ac:dyDescent="0.35">
      <c r="B428" s="15" t="s">
        <v>157</v>
      </c>
      <c r="C428" s="15" t="s">
        <v>155</v>
      </c>
      <c r="D428" s="15" t="s">
        <v>30</v>
      </c>
      <c r="E428" s="17">
        <v>1</v>
      </c>
      <c r="F428" s="17">
        <v>1</v>
      </c>
      <c r="G428" s="17">
        <v>1</v>
      </c>
      <c r="H428" s="17">
        <v>1</v>
      </c>
      <c r="I428" s="17">
        <v>1</v>
      </c>
      <c r="J428" s="15" t="s">
        <v>196</v>
      </c>
    </row>
    <row r="429" spans="2:10" x14ac:dyDescent="0.35">
      <c r="B429" s="15" t="s">
        <v>158</v>
      </c>
      <c r="C429" s="15" t="s">
        <v>155</v>
      </c>
      <c r="D429" s="15" t="s">
        <v>30</v>
      </c>
      <c r="E429" s="17">
        <v>1</v>
      </c>
      <c r="F429" s="17">
        <v>1</v>
      </c>
      <c r="G429" s="17">
        <v>1</v>
      </c>
      <c r="H429" s="17">
        <v>1</v>
      </c>
      <c r="I429" s="17">
        <v>1</v>
      </c>
      <c r="J429" s="15" t="s">
        <v>196</v>
      </c>
    </row>
    <row r="430" spans="2:10" x14ac:dyDescent="0.35">
      <c r="B430" s="15" t="s">
        <v>160</v>
      </c>
      <c r="C430" s="15" t="s">
        <v>9</v>
      </c>
      <c r="D430" s="15" t="s">
        <v>26</v>
      </c>
      <c r="E430" s="17">
        <v>1</v>
      </c>
      <c r="F430" s="17">
        <v>1</v>
      </c>
      <c r="G430" s="17">
        <v>1</v>
      </c>
      <c r="H430" s="17">
        <v>1</v>
      </c>
      <c r="I430" s="17">
        <v>1</v>
      </c>
      <c r="J430" s="15" t="s">
        <v>196</v>
      </c>
    </row>
    <row r="431" spans="2:10" x14ac:dyDescent="0.35">
      <c r="B431" s="15" t="s">
        <v>161</v>
      </c>
      <c r="C431" s="15" t="s">
        <v>9</v>
      </c>
      <c r="D431" s="15" t="s">
        <v>18</v>
      </c>
      <c r="E431" s="17">
        <v>1</v>
      </c>
      <c r="F431" s="17">
        <v>1</v>
      </c>
      <c r="G431" s="17">
        <v>1</v>
      </c>
      <c r="H431" s="17">
        <v>1</v>
      </c>
      <c r="I431" s="17">
        <v>1</v>
      </c>
      <c r="J431" s="15" t="s">
        <v>196</v>
      </c>
    </row>
    <row r="432" spans="2:10" x14ac:dyDescent="0.35">
      <c r="B432" s="15" t="s">
        <v>162</v>
      </c>
      <c r="C432" s="15" t="s">
        <v>9</v>
      </c>
      <c r="D432" s="15" t="s">
        <v>13</v>
      </c>
      <c r="E432" s="17">
        <v>1</v>
      </c>
      <c r="F432" s="17">
        <v>1</v>
      </c>
      <c r="G432" s="17">
        <v>1</v>
      </c>
      <c r="H432" s="17">
        <v>1</v>
      </c>
      <c r="I432" s="17">
        <v>1</v>
      </c>
      <c r="J432" s="15" t="s">
        <v>196</v>
      </c>
    </row>
    <row r="433" spans="2:10" x14ac:dyDescent="0.35">
      <c r="B433" s="15" t="s">
        <v>163</v>
      </c>
      <c r="C433" s="15" t="s">
        <v>9</v>
      </c>
      <c r="D433" s="15" t="s">
        <v>16</v>
      </c>
      <c r="E433" s="17">
        <v>1</v>
      </c>
      <c r="F433" s="17">
        <v>1</v>
      </c>
      <c r="G433" s="17">
        <v>1</v>
      </c>
      <c r="H433" s="17">
        <v>1</v>
      </c>
      <c r="I433" s="17">
        <v>1</v>
      </c>
      <c r="J433" s="15" t="s">
        <v>196</v>
      </c>
    </row>
    <row r="434" spans="2:10" x14ac:dyDescent="0.35">
      <c r="B434" s="15" t="s">
        <v>164</v>
      </c>
      <c r="C434" s="15" t="s">
        <v>9</v>
      </c>
      <c r="D434" s="15" t="s">
        <v>48</v>
      </c>
      <c r="E434" s="17">
        <v>1</v>
      </c>
      <c r="F434" s="17">
        <v>1</v>
      </c>
      <c r="G434" s="17">
        <v>1</v>
      </c>
      <c r="H434" s="17">
        <v>1</v>
      </c>
      <c r="I434" s="17">
        <v>1</v>
      </c>
      <c r="J434" s="15" t="s">
        <v>196</v>
      </c>
    </row>
    <row r="435" spans="2:10" x14ac:dyDescent="0.35">
      <c r="B435" s="15" t="s">
        <v>165</v>
      </c>
      <c r="C435" s="15" t="s">
        <v>9</v>
      </c>
      <c r="D435" s="15" t="s">
        <v>26</v>
      </c>
      <c r="E435" s="17">
        <v>1</v>
      </c>
      <c r="F435" s="17">
        <v>1</v>
      </c>
      <c r="G435" s="17">
        <v>1</v>
      </c>
      <c r="H435" s="17">
        <v>1</v>
      </c>
      <c r="I435" s="17">
        <v>1</v>
      </c>
      <c r="J435" s="15" t="s">
        <v>196</v>
      </c>
    </row>
    <row r="436" spans="2:10" x14ac:dyDescent="0.35">
      <c r="B436" s="15" t="s">
        <v>166</v>
      </c>
      <c r="C436" s="15" t="s">
        <v>9</v>
      </c>
      <c r="D436" s="15" t="s">
        <v>26</v>
      </c>
      <c r="E436" s="17">
        <v>1</v>
      </c>
      <c r="F436" s="17">
        <v>1</v>
      </c>
      <c r="G436" s="17">
        <v>1</v>
      </c>
      <c r="H436" s="17">
        <v>1</v>
      </c>
      <c r="I436" s="17">
        <v>1</v>
      </c>
      <c r="J436" s="15" t="s">
        <v>196</v>
      </c>
    </row>
    <row r="437" spans="2:10" x14ac:dyDescent="0.35">
      <c r="B437" s="15" t="s">
        <v>167</v>
      </c>
      <c r="C437" s="15" t="s">
        <v>9</v>
      </c>
      <c r="D437" s="15" t="s">
        <v>23</v>
      </c>
      <c r="E437" s="17">
        <v>1</v>
      </c>
      <c r="F437" s="17">
        <v>1</v>
      </c>
      <c r="G437" s="17">
        <v>1</v>
      </c>
      <c r="H437" s="17">
        <v>1</v>
      </c>
      <c r="I437" s="17">
        <v>1</v>
      </c>
      <c r="J437" s="15" t="s">
        <v>196</v>
      </c>
    </row>
    <row r="438" spans="2:10" x14ac:dyDescent="0.35">
      <c r="B438" s="15" t="s">
        <v>168</v>
      </c>
      <c r="C438" s="15" t="s">
        <v>9</v>
      </c>
      <c r="D438" s="15" t="s">
        <v>43</v>
      </c>
      <c r="E438" s="17">
        <v>1</v>
      </c>
      <c r="F438" s="17">
        <v>1</v>
      </c>
      <c r="G438" s="17">
        <v>1</v>
      </c>
      <c r="H438" s="17">
        <v>1</v>
      </c>
      <c r="I438" s="17">
        <v>1</v>
      </c>
      <c r="J438" s="15" t="s">
        <v>196</v>
      </c>
    </row>
    <row r="439" spans="2:10" x14ac:dyDescent="0.35">
      <c r="B439" s="15" t="s">
        <v>169</v>
      </c>
      <c r="C439" s="15" t="s">
        <v>9</v>
      </c>
      <c r="D439" s="15" t="s">
        <v>13</v>
      </c>
      <c r="E439" s="17">
        <v>1</v>
      </c>
      <c r="F439" s="17">
        <v>1</v>
      </c>
      <c r="G439" s="17">
        <v>1</v>
      </c>
      <c r="H439" s="17">
        <v>1</v>
      </c>
      <c r="I439" s="17">
        <v>1</v>
      </c>
      <c r="J439" s="15" t="s">
        <v>196</v>
      </c>
    </row>
    <row r="440" spans="2:10" x14ac:dyDescent="0.35">
      <c r="B440" s="15" t="s">
        <v>170</v>
      </c>
      <c r="C440" s="15" t="s">
        <v>9</v>
      </c>
      <c r="D440" s="15" t="s">
        <v>21</v>
      </c>
      <c r="E440" s="17">
        <v>1</v>
      </c>
      <c r="F440" s="17">
        <v>1</v>
      </c>
      <c r="G440" s="17">
        <v>1</v>
      </c>
      <c r="H440" s="17">
        <v>1</v>
      </c>
      <c r="I440" s="17">
        <v>1</v>
      </c>
      <c r="J440" s="15" t="s">
        <v>196</v>
      </c>
    </row>
    <row r="441" spans="2:10" x14ac:dyDescent="0.35">
      <c r="B441" s="15" t="s">
        <v>171</v>
      </c>
      <c r="C441" s="15" t="s">
        <v>9</v>
      </c>
      <c r="D441" s="15" t="s">
        <v>95</v>
      </c>
      <c r="E441" s="17">
        <v>1</v>
      </c>
      <c r="F441" s="17">
        <v>1</v>
      </c>
      <c r="G441" s="17">
        <v>1</v>
      </c>
      <c r="H441" s="17">
        <v>1</v>
      </c>
      <c r="I441" s="17">
        <v>1</v>
      </c>
      <c r="J441" s="15" t="s">
        <v>196</v>
      </c>
    </row>
    <row r="442" spans="2:10" x14ac:dyDescent="0.35">
      <c r="B442" s="15" t="s">
        <v>172</v>
      </c>
      <c r="C442" s="15" t="s">
        <v>9</v>
      </c>
      <c r="D442" s="15" t="s">
        <v>21</v>
      </c>
      <c r="E442" s="17">
        <v>1</v>
      </c>
      <c r="F442" s="17">
        <v>1</v>
      </c>
      <c r="G442" s="17">
        <v>1</v>
      </c>
      <c r="H442" s="17">
        <v>1</v>
      </c>
      <c r="I442" s="17">
        <v>1</v>
      </c>
      <c r="J442" s="15" t="s">
        <v>196</v>
      </c>
    </row>
    <row r="443" spans="2:10" x14ac:dyDescent="0.35">
      <c r="B443" s="15" t="s">
        <v>173</v>
      </c>
      <c r="C443" s="15" t="s">
        <v>9</v>
      </c>
      <c r="D443" s="15" t="s">
        <v>43</v>
      </c>
      <c r="E443" s="17">
        <v>1</v>
      </c>
      <c r="F443" s="17">
        <v>1</v>
      </c>
      <c r="G443" s="17">
        <v>1</v>
      </c>
      <c r="H443" s="17">
        <v>1</v>
      </c>
      <c r="I443" s="17">
        <v>1</v>
      </c>
      <c r="J443" s="15" t="s">
        <v>196</v>
      </c>
    </row>
    <row r="444" spans="2:10" x14ac:dyDescent="0.35">
      <c r="B444" s="15" t="s">
        <v>174</v>
      </c>
      <c r="C444" s="15" t="s">
        <v>9</v>
      </c>
      <c r="D444" s="15" t="s">
        <v>26</v>
      </c>
      <c r="E444" s="17">
        <v>1</v>
      </c>
      <c r="F444" s="17">
        <v>1</v>
      </c>
      <c r="G444" s="17">
        <v>1</v>
      </c>
      <c r="H444" s="17">
        <v>1</v>
      </c>
      <c r="I444" s="17">
        <v>1</v>
      </c>
      <c r="J444" s="15" t="s">
        <v>196</v>
      </c>
    </row>
    <row r="445" spans="2:10" x14ac:dyDescent="0.35">
      <c r="B445" s="15" t="s">
        <v>175</v>
      </c>
      <c r="C445" s="15" t="s">
        <v>9</v>
      </c>
      <c r="D445" s="15" t="s">
        <v>65</v>
      </c>
      <c r="E445" s="17">
        <v>1</v>
      </c>
      <c r="F445" s="17">
        <v>1</v>
      </c>
      <c r="G445" s="17">
        <v>1</v>
      </c>
      <c r="H445" s="17">
        <v>1</v>
      </c>
      <c r="I445" s="17">
        <v>1</v>
      </c>
      <c r="J445" s="15" t="s">
        <v>196</v>
      </c>
    </row>
    <row r="446" spans="2:10" x14ac:dyDescent="0.35">
      <c r="B446" s="15" t="s">
        <v>176</v>
      </c>
      <c r="C446" s="15" t="s">
        <v>9</v>
      </c>
      <c r="D446" s="15" t="s">
        <v>43</v>
      </c>
      <c r="E446" s="17">
        <v>1</v>
      </c>
      <c r="F446" s="17">
        <v>1</v>
      </c>
      <c r="G446" s="17">
        <v>1</v>
      </c>
      <c r="H446" s="17">
        <v>1</v>
      </c>
      <c r="I446" s="17">
        <v>1</v>
      </c>
      <c r="J446" s="15" t="s">
        <v>196</v>
      </c>
    </row>
    <row r="447" spans="2:10" x14ac:dyDescent="0.35">
      <c r="B447" s="15" t="s">
        <v>177</v>
      </c>
      <c r="C447" s="15" t="s">
        <v>9</v>
      </c>
      <c r="D447" s="15" t="s">
        <v>26</v>
      </c>
      <c r="E447" s="17">
        <v>1</v>
      </c>
      <c r="F447" s="17">
        <v>1</v>
      </c>
      <c r="G447" s="17">
        <v>1</v>
      </c>
      <c r="H447" s="17">
        <v>1</v>
      </c>
      <c r="I447" s="17">
        <v>1</v>
      </c>
      <c r="J447" s="15" t="s">
        <v>196</v>
      </c>
    </row>
    <row r="448" spans="2:10" x14ac:dyDescent="0.35">
      <c r="B448" s="15" t="s">
        <v>178</v>
      </c>
      <c r="C448" s="15" t="s">
        <v>9</v>
      </c>
      <c r="D448" s="15" t="s">
        <v>43</v>
      </c>
      <c r="E448" s="17">
        <v>1</v>
      </c>
      <c r="F448" s="17">
        <v>1</v>
      </c>
      <c r="G448" s="17">
        <v>1</v>
      </c>
      <c r="H448" s="17">
        <v>1</v>
      </c>
      <c r="I448" s="17">
        <v>1</v>
      </c>
      <c r="J448" s="15" t="s">
        <v>196</v>
      </c>
    </row>
    <row r="449" spans="2:10" x14ac:dyDescent="0.35">
      <c r="B449" s="15" t="s">
        <v>179</v>
      </c>
      <c r="C449" s="15" t="s">
        <v>9</v>
      </c>
      <c r="D449" s="15" t="s">
        <v>54</v>
      </c>
      <c r="E449" s="17">
        <v>1</v>
      </c>
      <c r="F449" s="17">
        <v>1</v>
      </c>
      <c r="G449" s="17">
        <v>1</v>
      </c>
      <c r="H449" s="17">
        <v>1</v>
      </c>
      <c r="I449" s="17">
        <v>1</v>
      </c>
      <c r="J449" s="15" t="s">
        <v>196</v>
      </c>
    </row>
    <row r="450" spans="2:10" x14ac:dyDescent="0.35">
      <c r="B450" s="15" t="s">
        <v>180</v>
      </c>
      <c r="C450" s="15" t="s">
        <v>130</v>
      </c>
      <c r="D450" s="15" t="s">
        <v>30</v>
      </c>
      <c r="E450" s="17">
        <v>0.8</v>
      </c>
      <c r="F450" s="17">
        <v>0.8</v>
      </c>
      <c r="G450" s="17">
        <v>0.8</v>
      </c>
      <c r="H450" s="17">
        <v>0.8</v>
      </c>
      <c r="I450" s="17">
        <v>0.8</v>
      </c>
      <c r="J450" s="15" t="s">
        <v>196</v>
      </c>
    </row>
    <row r="451" spans="2:10" x14ac:dyDescent="0.35">
      <c r="B451" s="15" t="s">
        <v>181</v>
      </c>
      <c r="C451" s="15" t="s">
        <v>130</v>
      </c>
      <c r="D451" s="15" t="s">
        <v>30</v>
      </c>
      <c r="E451" s="17">
        <v>1</v>
      </c>
      <c r="F451" s="17">
        <v>1</v>
      </c>
      <c r="G451" s="17">
        <v>1</v>
      </c>
      <c r="H451" s="17">
        <v>1</v>
      </c>
      <c r="I451" s="17">
        <v>1</v>
      </c>
      <c r="J451" s="15" t="s">
        <v>196</v>
      </c>
    </row>
    <row r="452" spans="2:10" x14ac:dyDescent="0.35">
      <c r="B452" s="15" t="s">
        <v>182</v>
      </c>
      <c r="C452" s="15" t="s">
        <v>130</v>
      </c>
      <c r="D452" s="15" t="s">
        <v>30</v>
      </c>
      <c r="E452" s="17">
        <v>1</v>
      </c>
      <c r="F452" s="17">
        <v>1</v>
      </c>
      <c r="G452" s="17">
        <v>1</v>
      </c>
      <c r="H452" s="17">
        <v>1</v>
      </c>
      <c r="I452" s="17">
        <v>1</v>
      </c>
      <c r="J452" s="15" t="s">
        <v>196</v>
      </c>
    </row>
    <row r="453" spans="2:10" x14ac:dyDescent="0.35">
      <c r="B453" s="15" t="s">
        <v>183</v>
      </c>
      <c r="C453" s="15" t="s">
        <v>9</v>
      </c>
      <c r="D453" s="15" t="s">
        <v>93</v>
      </c>
      <c r="E453" s="17">
        <v>1</v>
      </c>
      <c r="F453" s="17">
        <v>1</v>
      </c>
      <c r="G453" s="17">
        <v>1</v>
      </c>
      <c r="H453" s="17">
        <v>1</v>
      </c>
      <c r="I453" s="17">
        <v>1</v>
      </c>
      <c r="J453" s="15" t="s">
        <v>196</v>
      </c>
    </row>
    <row r="454" spans="2:10" x14ac:dyDescent="0.35">
      <c r="B454" s="15" t="s">
        <v>184</v>
      </c>
      <c r="C454" s="15" t="s">
        <v>9</v>
      </c>
      <c r="D454" s="15" t="s">
        <v>54</v>
      </c>
      <c r="E454" s="17">
        <v>1</v>
      </c>
      <c r="F454" s="17">
        <v>1</v>
      </c>
      <c r="G454" s="17">
        <v>1</v>
      </c>
      <c r="H454" s="17">
        <v>1</v>
      </c>
      <c r="I454" s="17">
        <v>1</v>
      </c>
      <c r="J454" s="15" t="s">
        <v>196</v>
      </c>
    </row>
    <row r="455" spans="2:10" x14ac:dyDescent="0.35">
      <c r="B455" s="15" t="s">
        <v>185</v>
      </c>
      <c r="C455" s="15" t="s">
        <v>9</v>
      </c>
      <c r="D455" s="15" t="s">
        <v>95</v>
      </c>
      <c r="E455" s="17">
        <v>1</v>
      </c>
      <c r="F455" s="17">
        <v>1</v>
      </c>
      <c r="G455" s="17">
        <v>1</v>
      </c>
      <c r="H455" s="17">
        <v>1</v>
      </c>
      <c r="I455" s="17">
        <v>1</v>
      </c>
      <c r="J455" s="15" t="s">
        <v>196</v>
      </c>
    </row>
    <row r="456" spans="2:10" x14ac:dyDescent="0.35">
      <c r="B456" s="15" t="s">
        <v>186</v>
      </c>
      <c r="C456" s="15" t="s">
        <v>9</v>
      </c>
      <c r="D456" s="15" t="s">
        <v>26</v>
      </c>
      <c r="E456" s="17">
        <v>1</v>
      </c>
      <c r="F456" s="17">
        <v>1</v>
      </c>
      <c r="G456" s="17">
        <v>1</v>
      </c>
      <c r="H456" s="17">
        <v>1</v>
      </c>
      <c r="I456" s="17">
        <v>1</v>
      </c>
      <c r="J456" s="15" t="s">
        <v>196</v>
      </c>
    </row>
    <row r="457" spans="2:10" x14ac:dyDescent="0.35">
      <c r="B457" s="15" t="s">
        <v>187</v>
      </c>
      <c r="C457" s="15" t="s">
        <v>9</v>
      </c>
      <c r="D457" s="15" t="s">
        <v>10</v>
      </c>
      <c r="E457" s="17">
        <v>1</v>
      </c>
      <c r="F457" s="17">
        <v>1</v>
      </c>
      <c r="G457" s="17">
        <v>1</v>
      </c>
      <c r="H457" s="17">
        <v>1</v>
      </c>
      <c r="I457" s="17">
        <v>1</v>
      </c>
      <c r="J457" s="15" t="s">
        <v>196</v>
      </c>
    </row>
    <row r="458" spans="2:10" x14ac:dyDescent="0.35">
      <c r="B458" s="15" t="s">
        <v>188</v>
      </c>
      <c r="C458" s="15" t="s">
        <v>9</v>
      </c>
      <c r="D458" s="15" t="s">
        <v>10</v>
      </c>
      <c r="E458" s="17">
        <v>1</v>
      </c>
      <c r="F458" s="17">
        <v>1</v>
      </c>
      <c r="G458" s="17">
        <v>1</v>
      </c>
      <c r="H458" s="17">
        <v>1</v>
      </c>
      <c r="I458" s="17">
        <v>1</v>
      </c>
      <c r="J458" s="15" t="s">
        <v>196</v>
      </c>
    </row>
    <row r="459" spans="2:10" x14ac:dyDescent="0.35">
      <c r="B459" s="15" t="s">
        <v>189</v>
      </c>
      <c r="C459" s="15" t="s">
        <v>9</v>
      </c>
      <c r="D459" s="15" t="s">
        <v>26</v>
      </c>
      <c r="E459" s="17">
        <v>1</v>
      </c>
      <c r="F459" s="17">
        <v>1</v>
      </c>
      <c r="G459" s="17">
        <v>1</v>
      </c>
      <c r="H459" s="17">
        <v>1</v>
      </c>
      <c r="I459" s="17">
        <v>1</v>
      </c>
      <c r="J459" s="15" t="s">
        <v>196</v>
      </c>
    </row>
    <row r="460" spans="2:10" x14ac:dyDescent="0.35">
      <c r="B460" s="15" t="s">
        <v>197</v>
      </c>
      <c r="C460" s="15" t="s">
        <v>9</v>
      </c>
      <c r="D460" s="15" t="s">
        <v>23</v>
      </c>
      <c r="E460" s="17">
        <v>1</v>
      </c>
      <c r="F460" s="17">
        <v>1</v>
      </c>
      <c r="G460" s="17">
        <v>1</v>
      </c>
      <c r="H460" s="17">
        <v>1</v>
      </c>
      <c r="I460" s="17">
        <v>1</v>
      </c>
      <c r="J460" s="15" t="s">
        <v>196</v>
      </c>
    </row>
    <row r="461" spans="2:10" x14ac:dyDescent="0.35">
      <c r="B461" s="15" t="s">
        <v>191</v>
      </c>
      <c r="C461" s="15" t="s">
        <v>9</v>
      </c>
      <c r="D461" s="15" t="s">
        <v>23</v>
      </c>
      <c r="E461" s="17">
        <v>1</v>
      </c>
      <c r="F461" s="17">
        <v>1</v>
      </c>
      <c r="G461" s="17">
        <v>1</v>
      </c>
      <c r="H461" s="17">
        <v>1</v>
      </c>
      <c r="I461" s="17">
        <v>1</v>
      </c>
      <c r="J461" s="15" t="s">
        <v>196</v>
      </c>
    </row>
    <row r="462" spans="2:10" x14ac:dyDescent="0.35">
      <c r="B462" s="15" t="s">
        <v>192</v>
      </c>
      <c r="C462" s="15" t="s">
        <v>9</v>
      </c>
      <c r="D462" s="15" t="s">
        <v>10</v>
      </c>
      <c r="E462" s="17">
        <v>1</v>
      </c>
      <c r="F462" s="17">
        <v>1</v>
      </c>
      <c r="G462" s="17">
        <v>1</v>
      </c>
      <c r="H462" s="17">
        <v>1</v>
      </c>
      <c r="I462" s="17">
        <v>1</v>
      </c>
      <c r="J462" s="15" t="s">
        <v>196</v>
      </c>
    </row>
    <row r="463" spans="2:10" x14ac:dyDescent="0.35">
      <c r="B463" s="15" t="s">
        <v>193</v>
      </c>
      <c r="C463" s="15" t="s">
        <v>9</v>
      </c>
      <c r="D463" s="15" t="s">
        <v>10</v>
      </c>
      <c r="E463" s="17">
        <v>1</v>
      </c>
      <c r="F463" s="17">
        <v>1</v>
      </c>
      <c r="G463" s="17">
        <v>1</v>
      </c>
      <c r="H463" s="17">
        <v>1</v>
      </c>
      <c r="I463" s="17">
        <v>1</v>
      </c>
      <c r="J463" s="15" t="s">
        <v>196</v>
      </c>
    </row>
    <row r="464" spans="2:10" x14ac:dyDescent="0.35">
      <c r="B464" s="15" t="s">
        <v>194</v>
      </c>
      <c r="C464" s="15" t="s">
        <v>9</v>
      </c>
      <c r="D464" s="15" t="s">
        <v>43</v>
      </c>
      <c r="E464" s="17">
        <v>1</v>
      </c>
      <c r="F464" s="17">
        <v>1</v>
      </c>
      <c r="G464" s="17">
        <v>1</v>
      </c>
      <c r="H464" s="17">
        <v>1</v>
      </c>
      <c r="I464" s="17">
        <v>1</v>
      </c>
      <c r="J464" s="15" t="s">
        <v>196</v>
      </c>
    </row>
    <row r="465" spans="2:10" x14ac:dyDescent="0.35">
      <c r="B465" s="4" t="s">
        <v>8</v>
      </c>
      <c r="C465" s="5" t="s">
        <v>9</v>
      </c>
      <c r="D465" s="5" t="s">
        <v>10</v>
      </c>
      <c r="E465" s="6">
        <v>1</v>
      </c>
      <c r="F465" s="6">
        <v>1</v>
      </c>
      <c r="G465" s="6">
        <v>1</v>
      </c>
      <c r="H465" s="6">
        <v>1</v>
      </c>
      <c r="I465" s="6">
        <f>AVERAGE(E465:H465)</f>
        <v>1</v>
      </c>
      <c r="J465" s="7" t="s">
        <v>201</v>
      </c>
    </row>
    <row r="466" spans="2:10" x14ac:dyDescent="0.35">
      <c r="B466" s="4" t="s">
        <v>12</v>
      </c>
      <c r="C466" s="5" t="s">
        <v>9</v>
      </c>
      <c r="D466" s="5" t="s">
        <v>13</v>
      </c>
      <c r="E466" s="6">
        <v>1</v>
      </c>
      <c r="F466" s="6">
        <v>1</v>
      </c>
      <c r="G466" s="6">
        <v>1</v>
      </c>
      <c r="H466" s="6">
        <v>1</v>
      </c>
      <c r="I466" s="6">
        <f t="shared" ref="I466:I529" si="0">AVERAGE(E466:H466)</f>
        <v>1</v>
      </c>
      <c r="J466" s="7" t="s">
        <v>201</v>
      </c>
    </row>
    <row r="467" spans="2:10" x14ac:dyDescent="0.35">
      <c r="B467" s="4" t="s">
        <v>14</v>
      </c>
      <c r="C467" s="5" t="s">
        <v>9</v>
      </c>
      <c r="D467" s="5" t="s">
        <v>10</v>
      </c>
      <c r="E467" s="6">
        <v>1</v>
      </c>
      <c r="F467" s="6">
        <v>1</v>
      </c>
      <c r="G467" s="6">
        <v>1</v>
      </c>
      <c r="H467" s="6">
        <v>1</v>
      </c>
      <c r="I467" s="6">
        <f t="shared" si="0"/>
        <v>1</v>
      </c>
      <c r="J467" s="7" t="s">
        <v>201</v>
      </c>
    </row>
    <row r="468" spans="2:10" x14ac:dyDescent="0.35">
      <c r="B468" s="4" t="s">
        <v>15</v>
      </c>
      <c r="C468" s="5" t="s">
        <v>9</v>
      </c>
      <c r="D468" s="5" t="s">
        <v>16</v>
      </c>
      <c r="E468" s="6">
        <v>1</v>
      </c>
      <c r="F468" s="6">
        <v>1</v>
      </c>
      <c r="G468" s="6">
        <v>1</v>
      </c>
      <c r="H468" s="6">
        <v>1</v>
      </c>
      <c r="I468" s="6">
        <f t="shared" si="0"/>
        <v>1</v>
      </c>
      <c r="J468" s="7" t="s">
        <v>201</v>
      </c>
    </row>
    <row r="469" spans="2:10" x14ac:dyDescent="0.35">
      <c r="B469" s="4" t="s">
        <v>17</v>
      </c>
      <c r="C469" s="5" t="s">
        <v>9</v>
      </c>
      <c r="D469" s="5" t="s">
        <v>18</v>
      </c>
      <c r="E469" s="6">
        <v>1</v>
      </c>
      <c r="F469" s="6">
        <v>1</v>
      </c>
      <c r="G469" s="6">
        <v>1</v>
      </c>
      <c r="H469" s="6">
        <v>1</v>
      </c>
      <c r="I469" s="6">
        <f t="shared" si="0"/>
        <v>1</v>
      </c>
      <c r="J469" s="7" t="s">
        <v>201</v>
      </c>
    </row>
    <row r="470" spans="2:10" x14ac:dyDescent="0.35">
      <c r="B470" s="4" t="s">
        <v>19</v>
      </c>
      <c r="C470" s="5" t="s">
        <v>9</v>
      </c>
      <c r="D470" s="5" t="s">
        <v>13</v>
      </c>
      <c r="E470" s="6">
        <v>0</v>
      </c>
      <c r="F470" s="6">
        <v>1</v>
      </c>
      <c r="G470" s="6">
        <v>1</v>
      </c>
      <c r="H470" s="6">
        <v>1</v>
      </c>
      <c r="I470" s="6">
        <f t="shared" si="0"/>
        <v>0.75</v>
      </c>
      <c r="J470" s="7" t="s">
        <v>201</v>
      </c>
    </row>
    <row r="471" spans="2:10" x14ac:dyDescent="0.35">
      <c r="B471" s="4" t="s">
        <v>20</v>
      </c>
      <c r="C471" s="5" t="s">
        <v>9</v>
      </c>
      <c r="D471" s="5" t="s">
        <v>21</v>
      </c>
      <c r="E471" s="6">
        <v>1</v>
      </c>
      <c r="F471" s="6">
        <v>1</v>
      </c>
      <c r="G471" s="6">
        <v>1</v>
      </c>
      <c r="H471" s="6">
        <v>0</v>
      </c>
      <c r="I471" s="6">
        <f t="shared" si="0"/>
        <v>0.75</v>
      </c>
      <c r="J471" s="7" t="s">
        <v>201</v>
      </c>
    </row>
    <row r="472" spans="2:10" x14ac:dyDescent="0.35">
      <c r="B472" s="4" t="s">
        <v>22</v>
      </c>
      <c r="C472" s="5" t="s">
        <v>9</v>
      </c>
      <c r="D472" s="5" t="s">
        <v>23</v>
      </c>
      <c r="E472" s="6">
        <v>1</v>
      </c>
      <c r="F472" s="6">
        <v>1</v>
      </c>
      <c r="G472" s="6">
        <v>0</v>
      </c>
      <c r="H472" s="6">
        <v>1</v>
      </c>
      <c r="I472" s="6">
        <f t="shared" si="0"/>
        <v>0.75</v>
      </c>
      <c r="J472" s="7" t="s">
        <v>201</v>
      </c>
    </row>
    <row r="473" spans="2:10" x14ac:dyDescent="0.35">
      <c r="B473" s="4" t="s">
        <v>24</v>
      </c>
      <c r="C473" s="5" t="s">
        <v>9</v>
      </c>
      <c r="D473" s="5" t="s">
        <v>13</v>
      </c>
      <c r="E473" s="6">
        <v>1</v>
      </c>
      <c r="F473" s="6">
        <v>1</v>
      </c>
      <c r="G473" s="6">
        <v>1</v>
      </c>
      <c r="H473" s="6">
        <v>1</v>
      </c>
      <c r="I473" s="6">
        <f t="shared" si="0"/>
        <v>1</v>
      </c>
      <c r="J473" s="7" t="s">
        <v>201</v>
      </c>
    </row>
    <row r="474" spans="2:10" x14ac:dyDescent="0.35">
      <c r="B474" s="4" t="s">
        <v>25</v>
      </c>
      <c r="C474" s="5" t="s">
        <v>9</v>
      </c>
      <c r="D474" s="5" t="s">
        <v>26</v>
      </c>
      <c r="E474" s="6">
        <v>1</v>
      </c>
      <c r="F474" s="6">
        <v>1</v>
      </c>
      <c r="G474" s="6">
        <v>1</v>
      </c>
      <c r="H474" s="6">
        <v>1</v>
      </c>
      <c r="I474" s="6">
        <f t="shared" si="0"/>
        <v>1</v>
      </c>
      <c r="J474" s="7" t="s">
        <v>201</v>
      </c>
    </row>
    <row r="475" spans="2:10" x14ac:dyDescent="0.35">
      <c r="B475" s="4" t="s">
        <v>27</v>
      </c>
      <c r="C475" s="5" t="s">
        <v>9</v>
      </c>
      <c r="D475" s="5" t="s">
        <v>26</v>
      </c>
      <c r="E475" s="6">
        <v>1</v>
      </c>
      <c r="F475" s="6">
        <v>1</v>
      </c>
      <c r="G475" s="6">
        <v>1</v>
      </c>
      <c r="H475" s="6">
        <v>1</v>
      </c>
      <c r="I475" s="6">
        <f t="shared" si="0"/>
        <v>1</v>
      </c>
      <c r="J475" s="7" t="s">
        <v>201</v>
      </c>
    </row>
    <row r="476" spans="2:10" x14ac:dyDescent="0.35">
      <c r="B476" s="4" t="s">
        <v>28</v>
      </c>
      <c r="C476" s="5" t="s">
        <v>29</v>
      </c>
      <c r="D476" s="5" t="s">
        <v>30</v>
      </c>
      <c r="E476" s="6">
        <v>0</v>
      </c>
      <c r="F476" s="6">
        <v>1</v>
      </c>
      <c r="G476" s="6">
        <v>1</v>
      </c>
      <c r="H476" s="6">
        <v>1</v>
      </c>
      <c r="I476" s="6">
        <f t="shared" si="0"/>
        <v>0.75</v>
      </c>
      <c r="J476" s="7" t="s">
        <v>201</v>
      </c>
    </row>
    <row r="477" spans="2:10" x14ac:dyDescent="0.35">
      <c r="B477" s="4" t="s">
        <v>31</v>
      </c>
      <c r="C477" s="5" t="s">
        <v>29</v>
      </c>
      <c r="D477" s="5" t="s">
        <v>30</v>
      </c>
      <c r="E477" s="6">
        <v>1</v>
      </c>
      <c r="F477" s="6">
        <v>0</v>
      </c>
      <c r="G477" s="6">
        <v>0</v>
      </c>
      <c r="H477" s="6">
        <v>1</v>
      </c>
      <c r="I477" s="6">
        <f t="shared" si="0"/>
        <v>0.5</v>
      </c>
      <c r="J477" s="7" t="s">
        <v>201</v>
      </c>
    </row>
    <row r="478" spans="2:10" x14ac:dyDescent="0.35">
      <c r="B478" s="4" t="s">
        <v>32</v>
      </c>
      <c r="C478" s="5" t="s">
        <v>29</v>
      </c>
      <c r="D478" s="5" t="s">
        <v>30</v>
      </c>
      <c r="E478" s="6">
        <v>1</v>
      </c>
      <c r="F478" s="6">
        <v>1</v>
      </c>
      <c r="G478" s="6">
        <v>1</v>
      </c>
      <c r="H478" s="6">
        <v>1</v>
      </c>
      <c r="I478" s="6">
        <f t="shared" si="0"/>
        <v>1</v>
      </c>
      <c r="J478" s="7" t="s">
        <v>201</v>
      </c>
    </row>
    <row r="479" spans="2:10" x14ac:dyDescent="0.35">
      <c r="B479" s="4" t="s">
        <v>33</v>
      </c>
      <c r="C479" s="5" t="s">
        <v>29</v>
      </c>
      <c r="D479" s="5" t="s">
        <v>30</v>
      </c>
      <c r="E479" s="6">
        <v>0</v>
      </c>
      <c r="F479" s="6">
        <v>1</v>
      </c>
      <c r="G479" s="6">
        <v>1</v>
      </c>
      <c r="H479" s="6">
        <v>1</v>
      </c>
      <c r="I479" s="6">
        <f t="shared" si="0"/>
        <v>0.75</v>
      </c>
      <c r="J479" s="7" t="s">
        <v>201</v>
      </c>
    </row>
    <row r="480" spans="2:10" x14ac:dyDescent="0.35">
      <c r="B480" s="4" t="s">
        <v>34</v>
      </c>
      <c r="C480" s="5" t="s">
        <v>35</v>
      </c>
      <c r="D480" s="5" t="s">
        <v>30</v>
      </c>
      <c r="E480" s="6">
        <v>1</v>
      </c>
      <c r="F480" s="6">
        <v>1</v>
      </c>
      <c r="G480" s="6">
        <v>1</v>
      </c>
      <c r="H480" s="6">
        <v>1</v>
      </c>
      <c r="I480" s="6">
        <f t="shared" si="0"/>
        <v>1</v>
      </c>
      <c r="J480" s="7" t="s">
        <v>201</v>
      </c>
    </row>
    <row r="481" spans="2:10" x14ac:dyDescent="0.35">
      <c r="B481" s="4" t="s">
        <v>36</v>
      </c>
      <c r="C481" s="5" t="s">
        <v>35</v>
      </c>
      <c r="D481" s="5" t="s">
        <v>30</v>
      </c>
      <c r="E481" s="6">
        <v>0</v>
      </c>
      <c r="F481" s="6">
        <v>1</v>
      </c>
      <c r="G481" s="6">
        <v>1</v>
      </c>
      <c r="H481" s="6">
        <v>1</v>
      </c>
      <c r="I481" s="6">
        <f t="shared" si="0"/>
        <v>0.75</v>
      </c>
      <c r="J481" s="7" t="s">
        <v>201</v>
      </c>
    </row>
    <row r="482" spans="2:10" x14ac:dyDescent="0.35">
      <c r="B482" s="4" t="s">
        <v>37</v>
      </c>
      <c r="C482" s="5" t="s">
        <v>35</v>
      </c>
      <c r="D482" s="5" t="s">
        <v>30</v>
      </c>
      <c r="E482" s="6">
        <v>1</v>
      </c>
      <c r="F482" s="6">
        <v>1</v>
      </c>
      <c r="G482" s="6">
        <v>1</v>
      </c>
      <c r="H482" s="6">
        <v>1</v>
      </c>
      <c r="I482" s="6">
        <f t="shared" si="0"/>
        <v>1</v>
      </c>
      <c r="J482" s="7" t="s">
        <v>201</v>
      </c>
    </row>
    <row r="483" spans="2:10" x14ac:dyDescent="0.35">
      <c r="B483" s="4" t="s">
        <v>38</v>
      </c>
      <c r="C483" s="5" t="s">
        <v>35</v>
      </c>
      <c r="D483" s="5" t="s">
        <v>30</v>
      </c>
      <c r="E483" s="6">
        <v>0</v>
      </c>
      <c r="F483" s="6">
        <v>1</v>
      </c>
      <c r="G483" s="6">
        <v>1</v>
      </c>
      <c r="H483" s="6">
        <v>1</v>
      </c>
      <c r="I483" s="6">
        <f t="shared" si="0"/>
        <v>0.75</v>
      </c>
      <c r="J483" s="7" t="s">
        <v>201</v>
      </c>
    </row>
    <row r="484" spans="2:10" x14ac:dyDescent="0.35">
      <c r="B484" s="4" t="s">
        <v>39</v>
      </c>
      <c r="C484" s="5" t="s">
        <v>35</v>
      </c>
      <c r="D484" s="5" t="s">
        <v>30</v>
      </c>
      <c r="E484" s="6">
        <v>1</v>
      </c>
      <c r="F484" s="6">
        <v>0</v>
      </c>
      <c r="G484" s="6">
        <v>1</v>
      </c>
      <c r="H484" s="6">
        <v>1</v>
      </c>
      <c r="I484" s="6">
        <f t="shared" si="0"/>
        <v>0.75</v>
      </c>
      <c r="J484" s="7" t="s">
        <v>201</v>
      </c>
    </row>
    <row r="485" spans="2:10" x14ac:dyDescent="0.35">
      <c r="B485" s="4" t="s">
        <v>40</v>
      </c>
      <c r="C485" s="5" t="s">
        <v>35</v>
      </c>
      <c r="D485" s="5" t="s">
        <v>30</v>
      </c>
      <c r="E485" s="6">
        <v>0</v>
      </c>
      <c r="F485" s="6">
        <v>0</v>
      </c>
      <c r="G485" s="6">
        <v>0</v>
      </c>
      <c r="H485" s="6">
        <v>0</v>
      </c>
      <c r="I485" s="6">
        <f t="shared" si="0"/>
        <v>0</v>
      </c>
      <c r="J485" s="7" t="s">
        <v>201</v>
      </c>
    </row>
    <row r="486" spans="2:10" x14ac:dyDescent="0.35">
      <c r="B486" s="4" t="s">
        <v>41</v>
      </c>
      <c r="C486" s="5" t="s">
        <v>35</v>
      </c>
      <c r="D486" s="5" t="s">
        <v>30</v>
      </c>
      <c r="E486" s="6">
        <v>1</v>
      </c>
      <c r="F486" s="6">
        <v>1</v>
      </c>
      <c r="G486" s="6">
        <v>1</v>
      </c>
      <c r="H486" s="6">
        <v>1</v>
      </c>
      <c r="I486" s="6">
        <f t="shared" si="0"/>
        <v>1</v>
      </c>
      <c r="J486" s="7" t="s">
        <v>201</v>
      </c>
    </row>
    <row r="487" spans="2:10" x14ac:dyDescent="0.35">
      <c r="B487" s="4" t="s">
        <v>42</v>
      </c>
      <c r="C487" s="5" t="s">
        <v>9</v>
      </c>
      <c r="D487" s="5" t="s">
        <v>43</v>
      </c>
      <c r="E487" s="6">
        <v>1</v>
      </c>
      <c r="F487" s="6">
        <v>1</v>
      </c>
      <c r="G487" s="6">
        <v>1</v>
      </c>
      <c r="H487" s="6">
        <v>1</v>
      </c>
      <c r="I487" s="6">
        <f t="shared" si="0"/>
        <v>1</v>
      </c>
      <c r="J487" s="7" t="s">
        <v>201</v>
      </c>
    </row>
    <row r="488" spans="2:10" x14ac:dyDescent="0.35">
      <c r="B488" s="4" t="s">
        <v>44</v>
      </c>
      <c r="C488" s="5" t="s">
        <v>9</v>
      </c>
      <c r="D488" s="5" t="s">
        <v>43</v>
      </c>
      <c r="E488" s="6">
        <v>1</v>
      </c>
      <c r="F488" s="6">
        <v>1</v>
      </c>
      <c r="G488" s="6">
        <v>1</v>
      </c>
      <c r="H488" s="6">
        <v>1</v>
      </c>
      <c r="I488" s="6">
        <f t="shared" si="0"/>
        <v>1</v>
      </c>
      <c r="J488" s="7" t="s">
        <v>201</v>
      </c>
    </row>
    <row r="489" spans="2:10" x14ac:dyDescent="0.35">
      <c r="B489" s="4" t="s">
        <v>45</v>
      </c>
      <c r="C489" s="5" t="s">
        <v>9</v>
      </c>
      <c r="D489" s="5" t="s">
        <v>23</v>
      </c>
      <c r="E489" s="6">
        <v>1</v>
      </c>
      <c r="F489" s="6">
        <v>1</v>
      </c>
      <c r="G489" s="6">
        <v>1</v>
      </c>
      <c r="H489" s="6">
        <v>1</v>
      </c>
      <c r="I489" s="6">
        <f t="shared" si="0"/>
        <v>1</v>
      </c>
      <c r="J489" s="7" t="s">
        <v>201</v>
      </c>
    </row>
    <row r="490" spans="2:10" x14ac:dyDescent="0.35">
      <c r="B490" s="4" t="s">
        <v>46</v>
      </c>
      <c r="C490" s="5" t="s">
        <v>9</v>
      </c>
      <c r="D490" s="5" t="s">
        <v>26</v>
      </c>
      <c r="E490" s="6">
        <v>1</v>
      </c>
      <c r="F490" s="6">
        <v>0</v>
      </c>
      <c r="G490" s="6">
        <v>1</v>
      </c>
      <c r="H490" s="6">
        <v>0</v>
      </c>
      <c r="I490" s="6">
        <f t="shared" si="0"/>
        <v>0.5</v>
      </c>
      <c r="J490" s="7" t="s">
        <v>201</v>
      </c>
    </row>
    <row r="491" spans="2:10" x14ac:dyDescent="0.35">
      <c r="B491" s="4" t="s">
        <v>49</v>
      </c>
      <c r="C491" s="5" t="s">
        <v>9</v>
      </c>
      <c r="D491" s="5" t="s">
        <v>26</v>
      </c>
      <c r="E491" s="6">
        <v>1</v>
      </c>
      <c r="F491" s="6">
        <v>1</v>
      </c>
      <c r="G491" s="6">
        <v>1</v>
      </c>
      <c r="H491" s="6">
        <v>1</v>
      </c>
      <c r="I491" s="6">
        <f t="shared" si="0"/>
        <v>1</v>
      </c>
      <c r="J491" s="7" t="s">
        <v>201</v>
      </c>
    </row>
    <row r="492" spans="2:10" x14ac:dyDescent="0.35">
      <c r="B492" s="4" t="s">
        <v>50</v>
      </c>
      <c r="C492" s="5" t="s">
        <v>9</v>
      </c>
      <c r="D492" s="5" t="s">
        <v>26</v>
      </c>
      <c r="E492" s="6">
        <v>1</v>
      </c>
      <c r="F492" s="6">
        <v>1</v>
      </c>
      <c r="G492" s="6">
        <v>1</v>
      </c>
      <c r="H492" s="6">
        <v>1</v>
      </c>
      <c r="I492" s="6">
        <f t="shared" si="0"/>
        <v>1</v>
      </c>
      <c r="J492" s="7" t="s">
        <v>201</v>
      </c>
    </row>
    <row r="493" spans="2:10" x14ac:dyDescent="0.35">
      <c r="B493" s="4" t="s">
        <v>51</v>
      </c>
      <c r="C493" s="5" t="s">
        <v>9</v>
      </c>
      <c r="D493" s="5" t="s">
        <v>26</v>
      </c>
      <c r="E493" s="6">
        <v>1</v>
      </c>
      <c r="F493" s="6">
        <v>0</v>
      </c>
      <c r="G493" s="6">
        <v>0</v>
      </c>
      <c r="H493" s="6">
        <v>1</v>
      </c>
      <c r="I493" s="6">
        <f t="shared" si="0"/>
        <v>0.5</v>
      </c>
      <c r="J493" s="7" t="s">
        <v>201</v>
      </c>
    </row>
    <row r="494" spans="2:10" x14ac:dyDescent="0.35">
      <c r="B494" s="4" t="s">
        <v>52</v>
      </c>
      <c r="C494" s="5" t="s">
        <v>9</v>
      </c>
      <c r="D494" s="5" t="s">
        <v>26</v>
      </c>
      <c r="E494" s="6">
        <v>1</v>
      </c>
      <c r="F494" s="6">
        <v>1</v>
      </c>
      <c r="G494" s="6">
        <v>1</v>
      </c>
      <c r="H494" s="6">
        <v>1</v>
      </c>
      <c r="I494" s="6">
        <f t="shared" si="0"/>
        <v>1</v>
      </c>
      <c r="J494" s="7" t="s">
        <v>201</v>
      </c>
    </row>
    <row r="495" spans="2:10" x14ac:dyDescent="0.35">
      <c r="B495" s="4" t="s">
        <v>53</v>
      </c>
      <c r="C495" s="5" t="s">
        <v>9</v>
      </c>
      <c r="D495" s="5" t="s">
        <v>54</v>
      </c>
      <c r="E495" s="6">
        <v>1</v>
      </c>
      <c r="F495" s="6">
        <v>1</v>
      </c>
      <c r="G495" s="6">
        <v>1</v>
      </c>
      <c r="H495" s="6">
        <v>1</v>
      </c>
      <c r="I495" s="6">
        <f t="shared" si="0"/>
        <v>1</v>
      </c>
      <c r="J495" s="7" t="s">
        <v>201</v>
      </c>
    </row>
    <row r="496" spans="2:10" x14ac:dyDescent="0.35">
      <c r="B496" s="4" t="s">
        <v>207</v>
      </c>
      <c r="C496" s="5" t="s">
        <v>9</v>
      </c>
      <c r="D496" s="5" t="s">
        <v>57</v>
      </c>
      <c r="E496" s="6">
        <v>1</v>
      </c>
      <c r="F496" s="6">
        <v>1</v>
      </c>
      <c r="G496" s="6">
        <v>1</v>
      </c>
      <c r="H496" s="6">
        <v>1</v>
      </c>
      <c r="I496" s="6">
        <f t="shared" si="0"/>
        <v>1</v>
      </c>
      <c r="J496" s="7" t="s">
        <v>201</v>
      </c>
    </row>
    <row r="497" spans="2:10" x14ac:dyDescent="0.35">
      <c r="B497" s="4" t="s">
        <v>58</v>
      </c>
      <c r="C497" s="5" t="s">
        <v>9</v>
      </c>
      <c r="D497" s="5" t="s">
        <v>10</v>
      </c>
      <c r="E497" s="6">
        <v>1</v>
      </c>
      <c r="F497" s="6">
        <v>1</v>
      </c>
      <c r="G497" s="6">
        <v>1</v>
      </c>
      <c r="H497" s="6">
        <v>1</v>
      </c>
      <c r="I497" s="6">
        <f t="shared" si="0"/>
        <v>1</v>
      </c>
      <c r="J497" s="7" t="s">
        <v>201</v>
      </c>
    </row>
    <row r="498" spans="2:10" x14ac:dyDescent="0.35">
      <c r="B498" s="4" t="s">
        <v>60</v>
      </c>
      <c r="C498" s="5" t="s">
        <v>9</v>
      </c>
      <c r="D498" s="5" t="s">
        <v>26</v>
      </c>
      <c r="E498" s="6">
        <v>1</v>
      </c>
      <c r="F498" s="6">
        <v>1</v>
      </c>
      <c r="G498" s="6">
        <v>1</v>
      </c>
      <c r="H498" s="6">
        <v>0</v>
      </c>
      <c r="I498" s="6">
        <f t="shared" si="0"/>
        <v>0.75</v>
      </c>
      <c r="J498" s="7" t="s">
        <v>201</v>
      </c>
    </row>
    <row r="499" spans="2:10" x14ac:dyDescent="0.35">
      <c r="B499" s="4" t="s">
        <v>61</v>
      </c>
      <c r="C499" s="5" t="s">
        <v>9</v>
      </c>
      <c r="D499" s="5" t="s">
        <v>23</v>
      </c>
      <c r="E499" s="6">
        <v>1</v>
      </c>
      <c r="F499" s="6">
        <v>0</v>
      </c>
      <c r="G499" s="6">
        <v>1</v>
      </c>
      <c r="H499" s="6">
        <v>1</v>
      </c>
      <c r="I499" s="6">
        <f t="shared" si="0"/>
        <v>0.75</v>
      </c>
      <c r="J499" s="7" t="s">
        <v>201</v>
      </c>
    </row>
    <row r="500" spans="2:10" x14ac:dyDescent="0.35">
      <c r="B500" s="4" t="s">
        <v>62</v>
      </c>
      <c r="C500" s="5" t="s">
        <v>9</v>
      </c>
      <c r="D500" s="5" t="s">
        <v>23</v>
      </c>
      <c r="E500" s="6">
        <v>0</v>
      </c>
      <c r="F500" s="6">
        <v>1</v>
      </c>
      <c r="G500" s="6">
        <v>1</v>
      </c>
      <c r="H500" s="6">
        <v>1</v>
      </c>
      <c r="I500" s="6">
        <f t="shared" si="0"/>
        <v>0.75</v>
      </c>
      <c r="J500" s="7" t="s">
        <v>201</v>
      </c>
    </row>
    <row r="501" spans="2:10" x14ac:dyDescent="0.35">
      <c r="B501" s="4" t="s">
        <v>63</v>
      </c>
      <c r="C501" s="5" t="s">
        <v>9</v>
      </c>
      <c r="D501" s="5" t="s">
        <v>26</v>
      </c>
      <c r="E501" s="6">
        <v>1</v>
      </c>
      <c r="F501" s="6">
        <v>1</v>
      </c>
      <c r="G501" s="6">
        <v>0</v>
      </c>
      <c r="H501" s="6">
        <v>1</v>
      </c>
      <c r="I501" s="6">
        <f t="shared" si="0"/>
        <v>0.75</v>
      </c>
      <c r="J501" s="7" t="s">
        <v>201</v>
      </c>
    </row>
    <row r="502" spans="2:10" x14ac:dyDescent="0.35">
      <c r="B502" s="4" t="s">
        <v>64</v>
      </c>
      <c r="C502" s="5" t="s">
        <v>9</v>
      </c>
      <c r="D502" s="5" t="s">
        <v>65</v>
      </c>
      <c r="E502" s="6">
        <v>1</v>
      </c>
      <c r="F502" s="6">
        <v>1</v>
      </c>
      <c r="G502" s="6">
        <v>1</v>
      </c>
      <c r="H502" s="6">
        <v>1</v>
      </c>
      <c r="I502" s="6">
        <f t="shared" si="0"/>
        <v>1</v>
      </c>
      <c r="J502" s="7" t="s">
        <v>201</v>
      </c>
    </row>
    <row r="503" spans="2:10" x14ac:dyDescent="0.35">
      <c r="B503" s="4" t="s">
        <v>66</v>
      </c>
      <c r="C503" s="5" t="s">
        <v>9</v>
      </c>
      <c r="D503" s="5" t="s">
        <v>48</v>
      </c>
      <c r="E503" s="6">
        <v>1</v>
      </c>
      <c r="F503" s="6">
        <v>1</v>
      </c>
      <c r="G503" s="6">
        <v>1</v>
      </c>
      <c r="H503" s="6">
        <v>1</v>
      </c>
      <c r="I503" s="6">
        <f t="shared" si="0"/>
        <v>1</v>
      </c>
      <c r="J503" s="7" t="s">
        <v>201</v>
      </c>
    </row>
    <row r="504" spans="2:10" x14ac:dyDescent="0.35">
      <c r="B504" s="4" t="s">
        <v>67</v>
      </c>
      <c r="C504" s="5" t="s">
        <v>9</v>
      </c>
      <c r="D504" s="5" t="s">
        <v>18</v>
      </c>
      <c r="E504" s="6">
        <v>1</v>
      </c>
      <c r="F504" s="6">
        <v>1</v>
      </c>
      <c r="G504" s="6">
        <v>1</v>
      </c>
      <c r="H504" s="6">
        <v>1</v>
      </c>
      <c r="I504" s="6">
        <f t="shared" si="0"/>
        <v>1</v>
      </c>
      <c r="J504" s="7" t="s">
        <v>201</v>
      </c>
    </row>
    <row r="505" spans="2:10" x14ac:dyDescent="0.35">
      <c r="B505" s="4" t="s">
        <v>68</v>
      </c>
      <c r="C505" s="5" t="s">
        <v>9</v>
      </c>
      <c r="D505" s="5" t="s">
        <v>26</v>
      </c>
      <c r="E505" s="6">
        <v>0</v>
      </c>
      <c r="F505" s="6">
        <v>0</v>
      </c>
      <c r="G505" s="6">
        <v>1</v>
      </c>
      <c r="H505" s="6">
        <v>1</v>
      </c>
      <c r="I505" s="6">
        <f t="shared" si="0"/>
        <v>0.5</v>
      </c>
      <c r="J505" s="7" t="s">
        <v>201</v>
      </c>
    </row>
    <row r="506" spans="2:10" x14ac:dyDescent="0.35">
      <c r="B506" s="4" t="s">
        <v>69</v>
      </c>
      <c r="C506" s="5" t="s">
        <v>9</v>
      </c>
      <c r="D506" s="5" t="s">
        <v>43</v>
      </c>
      <c r="E506" s="6">
        <v>1</v>
      </c>
      <c r="F506" s="6">
        <v>1</v>
      </c>
      <c r="G506" s="6">
        <v>0</v>
      </c>
      <c r="H506" s="6">
        <v>1</v>
      </c>
      <c r="I506" s="6">
        <f t="shared" si="0"/>
        <v>0.75</v>
      </c>
      <c r="J506" s="7" t="s">
        <v>201</v>
      </c>
    </row>
    <row r="507" spans="2:10" x14ac:dyDescent="0.35">
      <c r="B507" s="4" t="s">
        <v>70</v>
      </c>
      <c r="C507" s="5" t="s">
        <v>9</v>
      </c>
      <c r="D507" s="5" t="s">
        <v>23</v>
      </c>
      <c r="E507" s="6">
        <v>1</v>
      </c>
      <c r="F507" s="6">
        <v>0</v>
      </c>
      <c r="G507" s="6">
        <v>1</v>
      </c>
      <c r="H507" s="6">
        <v>1</v>
      </c>
      <c r="I507" s="6">
        <f t="shared" si="0"/>
        <v>0.75</v>
      </c>
      <c r="J507" s="7" t="s">
        <v>201</v>
      </c>
    </row>
    <row r="508" spans="2:10" x14ac:dyDescent="0.35">
      <c r="B508" s="4" t="s">
        <v>71</v>
      </c>
      <c r="C508" s="5" t="s">
        <v>9</v>
      </c>
      <c r="D508" s="5" t="s">
        <v>23</v>
      </c>
      <c r="E508" s="6">
        <v>1</v>
      </c>
      <c r="F508" s="6">
        <v>1</v>
      </c>
      <c r="G508" s="6">
        <v>1</v>
      </c>
      <c r="H508" s="6">
        <v>1</v>
      </c>
      <c r="I508" s="6">
        <f t="shared" si="0"/>
        <v>1</v>
      </c>
      <c r="J508" s="7" t="s">
        <v>201</v>
      </c>
    </row>
    <row r="509" spans="2:10" x14ac:dyDescent="0.35">
      <c r="B509" s="4" t="s">
        <v>72</v>
      </c>
      <c r="C509" s="5" t="s">
        <v>9</v>
      </c>
      <c r="D509" s="5" t="s">
        <v>23</v>
      </c>
      <c r="E509" s="6">
        <v>1</v>
      </c>
      <c r="F509" s="6">
        <v>1</v>
      </c>
      <c r="G509" s="6">
        <v>1</v>
      </c>
      <c r="H509" s="6">
        <v>1</v>
      </c>
      <c r="I509" s="6">
        <f t="shared" si="0"/>
        <v>1</v>
      </c>
      <c r="J509" s="7" t="s">
        <v>201</v>
      </c>
    </row>
    <row r="510" spans="2:10" x14ac:dyDescent="0.35">
      <c r="B510" s="4" t="s">
        <v>73</v>
      </c>
      <c r="C510" s="5" t="s">
        <v>74</v>
      </c>
      <c r="D510" s="5" t="s">
        <v>30</v>
      </c>
      <c r="E510" s="6">
        <v>1</v>
      </c>
      <c r="F510" s="6">
        <v>1</v>
      </c>
      <c r="G510" s="6">
        <v>1</v>
      </c>
      <c r="H510" s="6">
        <v>1</v>
      </c>
      <c r="I510" s="6">
        <f t="shared" si="0"/>
        <v>1</v>
      </c>
      <c r="J510" s="7" t="s">
        <v>201</v>
      </c>
    </row>
    <row r="511" spans="2:10" x14ac:dyDescent="0.35">
      <c r="B511" s="4" t="s">
        <v>75</v>
      </c>
      <c r="C511" s="5" t="s">
        <v>74</v>
      </c>
      <c r="D511" s="5" t="s">
        <v>30</v>
      </c>
      <c r="E511" s="6">
        <v>0</v>
      </c>
      <c r="F511" s="6">
        <v>0</v>
      </c>
      <c r="G511" s="6">
        <v>1</v>
      </c>
      <c r="H511" s="6">
        <v>1</v>
      </c>
      <c r="I511" s="6">
        <f t="shared" si="0"/>
        <v>0.5</v>
      </c>
      <c r="J511" s="7" t="s">
        <v>201</v>
      </c>
    </row>
    <row r="512" spans="2:10" x14ac:dyDescent="0.35">
      <c r="B512" s="4" t="s">
        <v>76</v>
      </c>
      <c r="C512" s="5" t="s">
        <v>74</v>
      </c>
      <c r="D512" s="5" t="s">
        <v>30</v>
      </c>
      <c r="E512" s="6">
        <v>0</v>
      </c>
      <c r="F512" s="6">
        <v>0</v>
      </c>
      <c r="G512" s="6">
        <v>1</v>
      </c>
      <c r="H512" s="6">
        <v>1</v>
      </c>
      <c r="I512" s="6">
        <f t="shared" si="0"/>
        <v>0.5</v>
      </c>
      <c r="J512" s="7" t="s">
        <v>201</v>
      </c>
    </row>
    <row r="513" spans="2:10" x14ac:dyDescent="0.35">
      <c r="B513" s="4" t="s">
        <v>77</v>
      </c>
      <c r="C513" s="5" t="s">
        <v>74</v>
      </c>
      <c r="D513" s="5" t="s">
        <v>30</v>
      </c>
      <c r="E513" s="6">
        <v>1</v>
      </c>
      <c r="F513" s="6">
        <v>1</v>
      </c>
      <c r="G513" s="6">
        <v>1</v>
      </c>
      <c r="H513" s="6">
        <v>1</v>
      </c>
      <c r="I513" s="6">
        <f t="shared" si="0"/>
        <v>1</v>
      </c>
      <c r="J513" s="7" t="s">
        <v>201</v>
      </c>
    </row>
    <row r="514" spans="2:10" x14ac:dyDescent="0.35">
      <c r="B514" s="4" t="s">
        <v>78</v>
      </c>
      <c r="C514" s="5" t="s">
        <v>9</v>
      </c>
      <c r="D514" s="5" t="s">
        <v>23</v>
      </c>
      <c r="E514" s="6">
        <v>0</v>
      </c>
      <c r="F514" s="6">
        <v>1</v>
      </c>
      <c r="G514" s="6">
        <v>1</v>
      </c>
      <c r="H514" s="6">
        <v>1</v>
      </c>
      <c r="I514" s="6">
        <f t="shared" si="0"/>
        <v>0.75</v>
      </c>
      <c r="J514" s="7" t="s">
        <v>201</v>
      </c>
    </row>
    <row r="515" spans="2:10" x14ac:dyDescent="0.35">
      <c r="B515" s="4" t="s">
        <v>79</v>
      </c>
      <c r="C515" s="5" t="s">
        <v>9</v>
      </c>
      <c r="D515" s="5" t="s">
        <v>43</v>
      </c>
      <c r="E515" s="6">
        <v>1</v>
      </c>
      <c r="F515" s="6">
        <v>1</v>
      </c>
      <c r="G515" s="6">
        <v>1</v>
      </c>
      <c r="H515" s="6">
        <v>1</v>
      </c>
      <c r="I515" s="6">
        <f t="shared" si="0"/>
        <v>1</v>
      </c>
      <c r="J515" s="7" t="s">
        <v>201</v>
      </c>
    </row>
    <row r="516" spans="2:10" x14ac:dyDescent="0.35">
      <c r="B516" s="4" t="s">
        <v>208</v>
      </c>
      <c r="C516" s="5" t="s">
        <v>9</v>
      </c>
      <c r="D516" s="5" t="s">
        <v>57</v>
      </c>
      <c r="E516" s="6">
        <v>0</v>
      </c>
      <c r="F516" s="6">
        <v>0</v>
      </c>
      <c r="G516" s="6">
        <v>1</v>
      </c>
      <c r="H516" s="6">
        <v>1</v>
      </c>
      <c r="I516" s="6">
        <f t="shared" si="0"/>
        <v>0.5</v>
      </c>
      <c r="J516" s="7" t="s">
        <v>201</v>
      </c>
    </row>
    <row r="517" spans="2:10" x14ac:dyDescent="0.35">
      <c r="B517" s="4" t="s">
        <v>81</v>
      </c>
      <c r="C517" s="5" t="s">
        <v>9</v>
      </c>
      <c r="D517" s="5" t="s">
        <v>57</v>
      </c>
      <c r="E517" s="6">
        <v>0</v>
      </c>
      <c r="F517" s="6">
        <v>1</v>
      </c>
      <c r="G517" s="6">
        <v>1</v>
      </c>
      <c r="H517" s="6">
        <v>1</v>
      </c>
      <c r="I517" s="6">
        <f t="shared" si="0"/>
        <v>0.75</v>
      </c>
      <c r="J517" s="7" t="s">
        <v>201</v>
      </c>
    </row>
    <row r="518" spans="2:10" x14ac:dyDescent="0.35">
      <c r="B518" s="4" t="s">
        <v>82</v>
      </c>
      <c r="C518" s="5" t="s">
        <v>9</v>
      </c>
      <c r="D518" s="5" t="s">
        <v>26</v>
      </c>
      <c r="E518" s="6">
        <v>0</v>
      </c>
      <c r="F518" s="6">
        <v>1</v>
      </c>
      <c r="G518" s="6">
        <v>1</v>
      </c>
      <c r="H518" s="6">
        <v>1</v>
      </c>
      <c r="I518" s="6">
        <f t="shared" si="0"/>
        <v>0.75</v>
      </c>
      <c r="J518" s="7" t="s">
        <v>201</v>
      </c>
    </row>
    <row r="519" spans="2:10" x14ac:dyDescent="0.35">
      <c r="B519" s="4" t="s">
        <v>83</v>
      </c>
      <c r="C519" s="5" t="s">
        <v>84</v>
      </c>
      <c r="D519" s="5" t="s">
        <v>30</v>
      </c>
      <c r="E519" s="6">
        <v>0</v>
      </c>
      <c r="F519" s="6">
        <v>0</v>
      </c>
      <c r="G519" s="6">
        <v>0</v>
      </c>
      <c r="H519" s="6">
        <v>1</v>
      </c>
      <c r="I519" s="6">
        <f t="shared" si="0"/>
        <v>0.25</v>
      </c>
      <c r="J519" s="7" t="s">
        <v>201</v>
      </c>
    </row>
    <row r="520" spans="2:10" x14ac:dyDescent="0.35">
      <c r="B520" s="4" t="s">
        <v>85</v>
      </c>
      <c r="C520" s="5" t="s">
        <v>84</v>
      </c>
      <c r="D520" s="5" t="s">
        <v>30</v>
      </c>
      <c r="E520" s="6">
        <v>1</v>
      </c>
      <c r="F520" s="6">
        <v>1</v>
      </c>
      <c r="G520" s="6">
        <v>1</v>
      </c>
      <c r="H520" s="6">
        <v>1</v>
      </c>
      <c r="I520" s="6">
        <f t="shared" si="0"/>
        <v>1</v>
      </c>
      <c r="J520" s="7" t="s">
        <v>201</v>
      </c>
    </row>
    <row r="521" spans="2:10" x14ac:dyDescent="0.35">
      <c r="B521" s="4" t="s">
        <v>86</v>
      </c>
      <c r="C521" s="5" t="s">
        <v>84</v>
      </c>
      <c r="D521" s="5" t="s">
        <v>30</v>
      </c>
      <c r="E521" s="6">
        <v>1</v>
      </c>
      <c r="F521" s="6">
        <v>0</v>
      </c>
      <c r="G521" s="6">
        <v>0</v>
      </c>
      <c r="H521" s="6">
        <v>1</v>
      </c>
      <c r="I521" s="6">
        <f t="shared" si="0"/>
        <v>0.5</v>
      </c>
      <c r="J521" s="7" t="s">
        <v>201</v>
      </c>
    </row>
    <row r="522" spans="2:10" x14ac:dyDescent="0.35">
      <c r="B522" s="4" t="s">
        <v>87</v>
      </c>
      <c r="C522" s="5" t="s">
        <v>84</v>
      </c>
      <c r="D522" s="5" t="s">
        <v>30</v>
      </c>
      <c r="E522" s="6">
        <v>1</v>
      </c>
      <c r="F522" s="6">
        <v>1</v>
      </c>
      <c r="G522" s="6">
        <v>1</v>
      </c>
      <c r="H522" s="6">
        <v>1</v>
      </c>
      <c r="I522" s="6">
        <f t="shared" si="0"/>
        <v>1</v>
      </c>
      <c r="J522" s="7" t="s">
        <v>201</v>
      </c>
    </row>
    <row r="523" spans="2:10" x14ac:dyDescent="0.35">
      <c r="B523" s="4" t="s">
        <v>88</v>
      </c>
      <c r="C523" s="5" t="s">
        <v>84</v>
      </c>
      <c r="D523" s="5" t="s">
        <v>30</v>
      </c>
      <c r="E523" s="6">
        <v>1</v>
      </c>
      <c r="F523" s="6">
        <v>1</v>
      </c>
      <c r="G523" s="6">
        <v>1</v>
      </c>
      <c r="H523" s="6">
        <v>1</v>
      </c>
      <c r="I523" s="6">
        <f t="shared" si="0"/>
        <v>1</v>
      </c>
      <c r="J523" s="7" t="s">
        <v>201</v>
      </c>
    </row>
    <row r="524" spans="2:10" x14ac:dyDescent="0.35">
      <c r="B524" s="4" t="s">
        <v>91</v>
      </c>
      <c r="C524" s="5" t="s">
        <v>9</v>
      </c>
      <c r="D524" s="5" t="s">
        <v>18</v>
      </c>
      <c r="E524" s="6">
        <v>1</v>
      </c>
      <c r="F524" s="6">
        <v>1</v>
      </c>
      <c r="G524" s="6">
        <v>1</v>
      </c>
      <c r="H524" s="6">
        <v>0</v>
      </c>
      <c r="I524" s="6">
        <f t="shared" si="0"/>
        <v>0.75</v>
      </c>
      <c r="J524" s="7" t="s">
        <v>201</v>
      </c>
    </row>
    <row r="525" spans="2:10" x14ac:dyDescent="0.35">
      <c r="B525" s="4" t="s">
        <v>92</v>
      </c>
      <c r="C525" s="5" t="s">
        <v>9</v>
      </c>
      <c r="D525" s="5" t="s">
        <v>93</v>
      </c>
      <c r="E525" s="6">
        <v>0</v>
      </c>
      <c r="F525" s="6">
        <v>1</v>
      </c>
      <c r="G525" s="6">
        <v>0</v>
      </c>
      <c r="H525" s="6">
        <v>0</v>
      </c>
      <c r="I525" s="6">
        <f t="shared" si="0"/>
        <v>0.25</v>
      </c>
      <c r="J525" s="7" t="s">
        <v>201</v>
      </c>
    </row>
    <row r="526" spans="2:10" x14ac:dyDescent="0.35">
      <c r="B526" s="4" t="s">
        <v>94</v>
      </c>
      <c r="C526" s="5" t="s">
        <v>9</v>
      </c>
      <c r="D526" s="5" t="s">
        <v>95</v>
      </c>
      <c r="E526" s="6">
        <v>1</v>
      </c>
      <c r="F526" s="6">
        <v>1</v>
      </c>
      <c r="G526" s="6">
        <v>1</v>
      </c>
      <c r="H526" s="6">
        <v>1</v>
      </c>
      <c r="I526" s="6">
        <f t="shared" si="0"/>
        <v>1</v>
      </c>
      <c r="J526" s="7" t="s">
        <v>201</v>
      </c>
    </row>
    <row r="527" spans="2:10" x14ac:dyDescent="0.35">
      <c r="B527" s="4" t="s">
        <v>96</v>
      </c>
      <c r="C527" s="5" t="s">
        <v>9</v>
      </c>
      <c r="D527" s="5" t="s">
        <v>16</v>
      </c>
      <c r="E527" s="6">
        <v>1</v>
      </c>
      <c r="F527" s="6">
        <v>1</v>
      </c>
      <c r="G527" s="6">
        <v>1</v>
      </c>
      <c r="H527" s="6">
        <v>1</v>
      </c>
      <c r="I527" s="6">
        <f t="shared" si="0"/>
        <v>1</v>
      </c>
      <c r="J527" s="7" t="s">
        <v>201</v>
      </c>
    </row>
    <row r="528" spans="2:10" x14ac:dyDescent="0.35">
      <c r="B528" s="4" t="s">
        <v>97</v>
      </c>
      <c r="C528" s="5" t="s">
        <v>9</v>
      </c>
      <c r="D528" s="5" t="s">
        <v>26</v>
      </c>
      <c r="E528" s="6">
        <v>1</v>
      </c>
      <c r="F528" s="6">
        <v>1</v>
      </c>
      <c r="G528" s="6">
        <v>1</v>
      </c>
      <c r="H528" s="6">
        <v>1</v>
      </c>
      <c r="I528" s="6">
        <f t="shared" si="0"/>
        <v>1</v>
      </c>
      <c r="J528" s="7" t="s">
        <v>201</v>
      </c>
    </row>
    <row r="529" spans="2:10" x14ac:dyDescent="0.35">
      <c r="B529" s="4" t="s">
        <v>98</v>
      </c>
      <c r="C529" s="5" t="s">
        <v>9</v>
      </c>
      <c r="D529" s="5" t="s">
        <v>13</v>
      </c>
      <c r="E529" s="6">
        <v>1</v>
      </c>
      <c r="F529" s="6">
        <v>1</v>
      </c>
      <c r="G529" s="6">
        <v>1</v>
      </c>
      <c r="H529" s="6">
        <v>1</v>
      </c>
      <c r="I529" s="6">
        <f t="shared" si="0"/>
        <v>1</v>
      </c>
      <c r="J529" s="7" t="s">
        <v>201</v>
      </c>
    </row>
    <row r="530" spans="2:10" x14ac:dyDescent="0.35">
      <c r="B530" s="4" t="s">
        <v>99</v>
      </c>
      <c r="C530" s="5" t="s">
        <v>9</v>
      </c>
      <c r="D530" s="5" t="s">
        <v>18</v>
      </c>
      <c r="E530" s="6">
        <v>0</v>
      </c>
      <c r="F530" s="6">
        <v>1</v>
      </c>
      <c r="G530" s="6">
        <v>0</v>
      </c>
      <c r="H530" s="6">
        <v>1</v>
      </c>
      <c r="I530" s="6">
        <f t="shared" ref="I530:I593" si="1">AVERAGE(E530:H530)</f>
        <v>0.5</v>
      </c>
      <c r="J530" s="7" t="s">
        <v>201</v>
      </c>
    </row>
    <row r="531" spans="2:10" x14ac:dyDescent="0.35">
      <c r="B531" s="4" t="s">
        <v>100</v>
      </c>
      <c r="C531" s="5" t="s">
        <v>9</v>
      </c>
      <c r="D531" s="5" t="s">
        <v>43</v>
      </c>
      <c r="E531" s="6">
        <v>1</v>
      </c>
      <c r="F531" s="6">
        <v>1</v>
      </c>
      <c r="G531" s="6">
        <v>0</v>
      </c>
      <c r="H531" s="6">
        <v>1</v>
      </c>
      <c r="I531" s="6">
        <f t="shared" si="1"/>
        <v>0.75</v>
      </c>
      <c r="J531" s="7" t="s">
        <v>201</v>
      </c>
    </row>
    <row r="532" spans="2:10" x14ac:dyDescent="0.35">
      <c r="B532" s="4" t="s">
        <v>101</v>
      </c>
      <c r="C532" s="5" t="s">
        <v>9</v>
      </c>
      <c r="D532" s="5" t="s">
        <v>23</v>
      </c>
      <c r="E532" s="6">
        <v>1</v>
      </c>
      <c r="F532" s="6">
        <v>1</v>
      </c>
      <c r="G532" s="6">
        <v>1</v>
      </c>
      <c r="H532" s="6">
        <v>1</v>
      </c>
      <c r="I532" s="6">
        <f t="shared" si="1"/>
        <v>1</v>
      </c>
      <c r="J532" s="7" t="s">
        <v>201</v>
      </c>
    </row>
    <row r="533" spans="2:10" x14ac:dyDescent="0.35">
      <c r="B533" s="4" t="s">
        <v>103</v>
      </c>
      <c r="C533" s="5" t="s">
        <v>9</v>
      </c>
      <c r="D533" s="5" t="s">
        <v>26</v>
      </c>
      <c r="E533" s="6">
        <v>1</v>
      </c>
      <c r="F533" s="6">
        <v>1</v>
      </c>
      <c r="G533" s="6">
        <v>1</v>
      </c>
      <c r="H533" s="6">
        <v>1</v>
      </c>
      <c r="I533" s="6">
        <f t="shared" si="1"/>
        <v>1</v>
      </c>
      <c r="J533" s="7" t="s">
        <v>201</v>
      </c>
    </row>
    <row r="534" spans="2:10" x14ac:dyDescent="0.35">
      <c r="B534" s="4" t="s">
        <v>104</v>
      </c>
      <c r="C534" s="5" t="s">
        <v>9</v>
      </c>
      <c r="D534" s="5" t="s">
        <v>48</v>
      </c>
      <c r="E534" s="6">
        <v>1</v>
      </c>
      <c r="F534" s="6">
        <v>1</v>
      </c>
      <c r="G534" s="6">
        <v>1</v>
      </c>
      <c r="H534" s="6">
        <v>0</v>
      </c>
      <c r="I534" s="6">
        <f t="shared" si="1"/>
        <v>0.75</v>
      </c>
      <c r="J534" s="7" t="s">
        <v>201</v>
      </c>
    </row>
    <row r="535" spans="2:10" x14ac:dyDescent="0.35">
      <c r="B535" s="4" t="s">
        <v>105</v>
      </c>
      <c r="C535" s="5" t="s">
        <v>9</v>
      </c>
      <c r="D535" s="5" t="s">
        <v>26</v>
      </c>
      <c r="E535" s="6">
        <v>0</v>
      </c>
      <c r="F535" s="6">
        <v>1</v>
      </c>
      <c r="G535" s="6">
        <v>1</v>
      </c>
      <c r="H535" s="6">
        <v>1</v>
      </c>
      <c r="I535" s="6">
        <f t="shared" si="1"/>
        <v>0.75</v>
      </c>
      <c r="J535" s="7" t="s">
        <v>201</v>
      </c>
    </row>
    <row r="536" spans="2:10" x14ac:dyDescent="0.35">
      <c r="B536" s="4" t="s">
        <v>106</v>
      </c>
      <c r="C536" s="5" t="s">
        <v>9</v>
      </c>
      <c r="D536" s="5" t="s">
        <v>26</v>
      </c>
      <c r="E536" s="6">
        <v>1</v>
      </c>
      <c r="F536" s="6">
        <v>1</v>
      </c>
      <c r="G536" s="6">
        <v>1</v>
      </c>
      <c r="H536" s="6">
        <v>1</v>
      </c>
      <c r="I536" s="6">
        <f t="shared" si="1"/>
        <v>1</v>
      </c>
      <c r="J536" s="7" t="s">
        <v>201</v>
      </c>
    </row>
    <row r="537" spans="2:10" x14ac:dyDescent="0.35">
      <c r="B537" s="4" t="s">
        <v>108</v>
      </c>
      <c r="C537" s="5" t="s">
        <v>9</v>
      </c>
      <c r="D537" s="5" t="s">
        <v>23</v>
      </c>
      <c r="E537" s="6">
        <v>1</v>
      </c>
      <c r="F537" s="6">
        <v>0</v>
      </c>
      <c r="G537" s="6">
        <v>1</v>
      </c>
      <c r="H537" s="6">
        <v>1</v>
      </c>
      <c r="I537" s="6">
        <f t="shared" si="1"/>
        <v>0.75</v>
      </c>
      <c r="J537" s="7" t="s">
        <v>201</v>
      </c>
    </row>
    <row r="538" spans="2:10" x14ac:dyDescent="0.35">
      <c r="B538" s="4" t="s">
        <v>110</v>
      </c>
      <c r="C538" s="5" t="s">
        <v>9</v>
      </c>
      <c r="D538" s="5" t="s">
        <v>43</v>
      </c>
      <c r="E538" s="6">
        <v>1</v>
      </c>
      <c r="F538" s="6">
        <v>1</v>
      </c>
      <c r="G538" s="6">
        <v>1</v>
      </c>
      <c r="H538" s="6">
        <v>1</v>
      </c>
      <c r="I538" s="6">
        <f t="shared" si="1"/>
        <v>1</v>
      </c>
      <c r="J538" s="7" t="s">
        <v>201</v>
      </c>
    </row>
    <row r="539" spans="2:10" x14ac:dyDescent="0.35">
      <c r="B539" s="4" t="s">
        <v>111</v>
      </c>
      <c r="C539" s="5" t="s">
        <v>9</v>
      </c>
      <c r="D539" s="5" t="s">
        <v>95</v>
      </c>
      <c r="E539" s="6">
        <v>1</v>
      </c>
      <c r="F539" s="6">
        <v>1</v>
      </c>
      <c r="G539" s="6">
        <v>1</v>
      </c>
      <c r="H539" s="6">
        <v>1</v>
      </c>
      <c r="I539" s="6">
        <f t="shared" si="1"/>
        <v>1</v>
      </c>
      <c r="J539" s="7" t="s">
        <v>201</v>
      </c>
    </row>
    <row r="540" spans="2:10" x14ac:dyDescent="0.35">
      <c r="B540" s="4" t="s">
        <v>112</v>
      </c>
      <c r="C540" s="5" t="s">
        <v>9</v>
      </c>
      <c r="D540" s="5" t="s">
        <v>18</v>
      </c>
      <c r="E540" s="6">
        <v>1</v>
      </c>
      <c r="F540" s="6">
        <v>1</v>
      </c>
      <c r="G540" s="6">
        <v>1</v>
      </c>
      <c r="H540" s="6">
        <v>1</v>
      </c>
      <c r="I540" s="6">
        <f t="shared" si="1"/>
        <v>1</v>
      </c>
      <c r="J540" s="7" t="s">
        <v>201</v>
      </c>
    </row>
    <row r="541" spans="2:10" x14ac:dyDescent="0.35">
      <c r="B541" s="4" t="s">
        <v>113</v>
      </c>
      <c r="C541" s="5" t="s">
        <v>9</v>
      </c>
      <c r="D541" s="5" t="s">
        <v>114</v>
      </c>
      <c r="E541" s="6">
        <v>1</v>
      </c>
      <c r="F541" s="6">
        <v>1</v>
      </c>
      <c r="G541" s="6">
        <v>1</v>
      </c>
      <c r="H541" s="6">
        <v>1</v>
      </c>
      <c r="I541" s="6">
        <f t="shared" si="1"/>
        <v>1</v>
      </c>
      <c r="J541" s="7" t="s">
        <v>201</v>
      </c>
    </row>
    <row r="542" spans="2:10" x14ac:dyDescent="0.35">
      <c r="B542" s="4" t="s">
        <v>115</v>
      </c>
      <c r="C542" s="5" t="s">
        <v>9</v>
      </c>
      <c r="D542" s="5" t="s">
        <v>26</v>
      </c>
      <c r="E542" s="6">
        <v>1</v>
      </c>
      <c r="F542" s="6">
        <v>1</v>
      </c>
      <c r="G542" s="6">
        <v>1</v>
      </c>
      <c r="H542" s="6">
        <v>1</v>
      </c>
      <c r="I542" s="6">
        <f t="shared" si="1"/>
        <v>1</v>
      </c>
      <c r="J542" s="7" t="s">
        <v>201</v>
      </c>
    </row>
    <row r="543" spans="2:10" x14ac:dyDescent="0.35">
      <c r="B543" s="4" t="s">
        <v>116</v>
      </c>
      <c r="C543" s="5" t="s">
        <v>9</v>
      </c>
      <c r="D543" s="5" t="s">
        <v>23</v>
      </c>
      <c r="E543" s="6">
        <v>0</v>
      </c>
      <c r="F543" s="6">
        <v>1</v>
      </c>
      <c r="G543" s="6">
        <v>1</v>
      </c>
      <c r="H543" s="6">
        <v>1</v>
      </c>
      <c r="I543" s="6">
        <f t="shared" si="1"/>
        <v>0.75</v>
      </c>
      <c r="J543" s="7" t="s">
        <v>201</v>
      </c>
    </row>
    <row r="544" spans="2:10" x14ac:dyDescent="0.35">
      <c r="B544" s="4" t="s">
        <v>117</v>
      </c>
      <c r="C544" s="5" t="s">
        <v>9</v>
      </c>
      <c r="D544" s="5" t="s">
        <v>23</v>
      </c>
      <c r="E544" s="6">
        <v>1</v>
      </c>
      <c r="F544" s="6">
        <v>1</v>
      </c>
      <c r="G544" s="6">
        <v>0</v>
      </c>
      <c r="H544" s="6">
        <v>0</v>
      </c>
      <c r="I544" s="6">
        <f t="shared" si="1"/>
        <v>0.5</v>
      </c>
      <c r="J544" s="7" t="s">
        <v>201</v>
      </c>
    </row>
    <row r="545" spans="2:10" x14ac:dyDescent="0.35">
      <c r="B545" s="4" t="s">
        <v>118</v>
      </c>
      <c r="C545" s="5" t="s">
        <v>9</v>
      </c>
      <c r="D545" s="5" t="s">
        <v>119</v>
      </c>
      <c r="E545" s="6">
        <v>1</v>
      </c>
      <c r="F545" s="6">
        <v>1</v>
      </c>
      <c r="G545" s="6">
        <v>1</v>
      </c>
      <c r="H545" s="6">
        <v>1</v>
      </c>
      <c r="I545" s="6">
        <f t="shared" si="1"/>
        <v>1</v>
      </c>
      <c r="J545" s="7" t="s">
        <v>201</v>
      </c>
    </row>
    <row r="546" spans="2:10" x14ac:dyDescent="0.35">
      <c r="B546" s="4" t="s">
        <v>120</v>
      </c>
      <c r="C546" s="5" t="s">
        <v>9</v>
      </c>
      <c r="D546" s="5" t="s">
        <v>114</v>
      </c>
      <c r="E546" s="6">
        <v>1</v>
      </c>
      <c r="F546" s="6">
        <v>0</v>
      </c>
      <c r="G546" s="6">
        <v>0</v>
      </c>
      <c r="H546" s="6">
        <v>1</v>
      </c>
      <c r="I546" s="6">
        <f t="shared" si="1"/>
        <v>0.5</v>
      </c>
      <c r="J546" s="7" t="s">
        <v>201</v>
      </c>
    </row>
    <row r="547" spans="2:10" x14ac:dyDescent="0.35">
      <c r="B547" s="4" t="s">
        <v>121</v>
      </c>
      <c r="C547" s="5" t="s">
        <v>9</v>
      </c>
      <c r="D547" s="5" t="s">
        <v>114</v>
      </c>
      <c r="E547" s="6">
        <v>1</v>
      </c>
      <c r="F547" s="6">
        <v>1</v>
      </c>
      <c r="G547" s="6">
        <v>1</v>
      </c>
      <c r="H547" s="6">
        <v>1</v>
      </c>
      <c r="I547" s="6">
        <f t="shared" si="1"/>
        <v>1</v>
      </c>
      <c r="J547" s="7" t="s">
        <v>201</v>
      </c>
    </row>
    <row r="548" spans="2:10" x14ac:dyDescent="0.35">
      <c r="B548" s="4" t="s">
        <v>122</v>
      </c>
      <c r="C548" s="5" t="s">
        <v>9</v>
      </c>
      <c r="D548" s="5" t="s">
        <v>114</v>
      </c>
      <c r="E548" s="6">
        <v>1</v>
      </c>
      <c r="F548" s="6">
        <v>1</v>
      </c>
      <c r="G548" s="6">
        <v>1</v>
      </c>
      <c r="H548" s="6"/>
      <c r="I548" s="6">
        <f t="shared" si="1"/>
        <v>1</v>
      </c>
      <c r="J548" s="7" t="s">
        <v>201</v>
      </c>
    </row>
    <row r="549" spans="2:10" x14ac:dyDescent="0.35">
      <c r="B549" s="4" t="s">
        <v>123</v>
      </c>
      <c r="C549" s="5" t="s">
        <v>9</v>
      </c>
      <c r="D549" s="5" t="s">
        <v>23</v>
      </c>
      <c r="E549" s="6">
        <v>0</v>
      </c>
      <c r="F549" s="6">
        <v>0</v>
      </c>
      <c r="G549" s="6">
        <v>0</v>
      </c>
      <c r="H549" s="6">
        <v>0</v>
      </c>
      <c r="I549" s="6">
        <f t="shared" si="1"/>
        <v>0</v>
      </c>
      <c r="J549" s="7" t="s">
        <v>201</v>
      </c>
    </row>
    <row r="550" spans="2:10" x14ac:dyDescent="0.35">
      <c r="B550" s="4" t="s">
        <v>124</v>
      </c>
      <c r="C550" s="5" t="s">
        <v>9</v>
      </c>
      <c r="D550" s="5" t="s">
        <v>119</v>
      </c>
      <c r="E550" s="6">
        <v>1</v>
      </c>
      <c r="F550" s="6">
        <v>1</v>
      </c>
      <c r="G550" s="6">
        <v>0</v>
      </c>
      <c r="H550" s="6">
        <v>1</v>
      </c>
      <c r="I550" s="6">
        <f t="shared" si="1"/>
        <v>0.75</v>
      </c>
      <c r="J550" s="7" t="s">
        <v>201</v>
      </c>
    </row>
    <row r="551" spans="2:10" x14ac:dyDescent="0.35">
      <c r="B551" s="4" t="s">
        <v>125</v>
      </c>
      <c r="C551" s="5" t="s">
        <v>9</v>
      </c>
      <c r="D551" s="5" t="s">
        <v>43</v>
      </c>
      <c r="E551" s="6">
        <v>0</v>
      </c>
      <c r="F551" s="6">
        <v>1</v>
      </c>
      <c r="G551" s="6">
        <v>1</v>
      </c>
      <c r="H551" s="6">
        <v>1</v>
      </c>
      <c r="I551" s="6">
        <f t="shared" si="1"/>
        <v>0.75</v>
      </c>
      <c r="J551" s="7" t="s">
        <v>201</v>
      </c>
    </row>
    <row r="552" spans="2:10" x14ac:dyDescent="0.35">
      <c r="B552" s="4" t="s">
        <v>126</v>
      </c>
      <c r="C552" s="5" t="s">
        <v>9</v>
      </c>
      <c r="D552" s="5" t="s">
        <v>54</v>
      </c>
      <c r="E552" s="6">
        <v>1</v>
      </c>
      <c r="F552" s="6">
        <v>1</v>
      </c>
      <c r="G552" s="6">
        <v>1</v>
      </c>
      <c r="H552" s="6">
        <v>1</v>
      </c>
      <c r="I552" s="6">
        <f t="shared" si="1"/>
        <v>1</v>
      </c>
      <c r="J552" s="7" t="s">
        <v>201</v>
      </c>
    </row>
    <row r="553" spans="2:10" x14ac:dyDescent="0.35">
      <c r="B553" s="4" t="s">
        <v>127</v>
      </c>
      <c r="C553" s="5" t="s">
        <v>9</v>
      </c>
      <c r="D553" s="5" t="s">
        <v>26</v>
      </c>
      <c r="E553" s="6">
        <v>1</v>
      </c>
      <c r="F553" s="6">
        <v>0</v>
      </c>
      <c r="G553" s="6">
        <v>1</v>
      </c>
      <c r="H553" s="6">
        <v>1</v>
      </c>
      <c r="I553" s="6">
        <f t="shared" si="1"/>
        <v>0.75</v>
      </c>
      <c r="J553" s="7" t="s">
        <v>201</v>
      </c>
    </row>
    <row r="554" spans="2:10" x14ac:dyDescent="0.35">
      <c r="B554" s="4" t="s">
        <v>129</v>
      </c>
      <c r="C554" s="5" t="s">
        <v>130</v>
      </c>
      <c r="D554" s="5" t="s">
        <v>30</v>
      </c>
      <c r="E554" s="6">
        <v>0</v>
      </c>
      <c r="F554" s="6">
        <v>1</v>
      </c>
      <c r="G554" s="6">
        <v>1</v>
      </c>
      <c r="H554" s="6">
        <v>1</v>
      </c>
      <c r="I554" s="6">
        <f t="shared" si="1"/>
        <v>0.75</v>
      </c>
      <c r="J554" s="7" t="s">
        <v>201</v>
      </c>
    </row>
    <row r="555" spans="2:10" x14ac:dyDescent="0.35">
      <c r="B555" s="4" t="s">
        <v>131</v>
      </c>
      <c r="C555" s="5" t="s">
        <v>9</v>
      </c>
      <c r="D555" s="5" t="s">
        <v>54</v>
      </c>
      <c r="E555" s="6">
        <v>0</v>
      </c>
      <c r="F555" s="6">
        <v>0</v>
      </c>
      <c r="G555" s="6">
        <v>0</v>
      </c>
      <c r="H555" s="6">
        <v>1</v>
      </c>
      <c r="I555" s="6">
        <f t="shared" si="1"/>
        <v>0.25</v>
      </c>
      <c r="J555" s="7" t="s">
        <v>201</v>
      </c>
    </row>
    <row r="556" spans="2:10" x14ac:dyDescent="0.35">
      <c r="B556" s="4" t="s">
        <v>132</v>
      </c>
      <c r="C556" s="5" t="s">
        <v>9</v>
      </c>
      <c r="D556" s="5" t="s">
        <v>54</v>
      </c>
      <c r="E556" s="6">
        <v>0</v>
      </c>
      <c r="F556" s="6">
        <v>1</v>
      </c>
      <c r="G556" s="6">
        <v>1</v>
      </c>
      <c r="H556" s="6">
        <v>1</v>
      </c>
      <c r="I556" s="6">
        <f t="shared" si="1"/>
        <v>0.75</v>
      </c>
      <c r="J556" s="7" t="s">
        <v>201</v>
      </c>
    </row>
    <row r="557" spans="2:10" x14ac:dyDescent="0.35">
      <c r="B557" s="4" t="s">
        <v>133</v>
      </c>
      <c r="C557" s="5" t="s">
        <v>9</v>
      </c>
      <c r="D557" s="5" t="s">
        <v>43</v>
      </c>
      <c r="E557" s="6">
        <v>1</v>
      </c>
      <c r="F557" s="6">
        <v>1</v>
      </c>
      <c r="G557" s="6">
        <v>0</v>
      </c>
      <c r="H557" s="6">
        <v>1</v>
      </c>
      <c r="I557" s="6">
        <f t="shared" si="1"/>
        <v>0.75</v>
      </c>
      <c r="J557" s="7" t="s">
        <v>201</v>
      </c>
    </row>
    <row r="558" spans="2:10" x14ac:dyDescent="0.35">
      <c r="B558" s="4" t="s">
        <v>134</v>
      </c>
      <c r="C558" s="5" t="s">
        <v>9</v>
      </c>
      <c r="D558" s="5" t="s">
        <v>10</v>
      </c>
      <c r="E558" s="6">
        <v>1</v>
      </c>
      <c r="F558" s="6">
        <v>1</v>
      </c>
      <c r="G558" s="6">
        <v>1</v>
      </c>
      <c r="H558" s="6">
        <v>1</v>
      </c>
      <c r="I558" s="6">
        <f t="shared" si="1"/>
        <v>1</v>
      </c>
      <c r="J558" s="7" t="s">
        <v>201</v>
      </c>
    </row>
    <row r="559" spans="2:10" x14ac:dyDescent="0.35">
      <c r="B559" s="4" t="s">
        <v>135</v>
      </c>
      <c r="C559" s="5" t="s">
        <v>9</v>
      </c>
      <c r="D559" s="5" t="s">
        <v>43</v>
      </c>
      <c r="E559" s="6">
        <v>1</v>
      </c>
      <c r="F559" s="6">
        <v>1</v>
      </c>
      <c r="G559" s="6">
        <v>0</v>
      </c>
      <c r="H559" s="6">
        <v>1</v>
      </c>
      <c r="I559" s="6">
        <f t="shared" si="1"/>
        <v>0.75</v>
      </c>
      <c r="J559" s="7" t="s">
        <v>201</v>
      </c>
    </row>
    <row r="560" spans="2:10" x14ac:dyDescent="0.35">
      <c r="B560" s="4" t="s">
        <v>136</v>
      </c>
      <c r="C560" s="5" t="s">
        <v>9</v>
      </c>
      <c r="D560" s="5" t="s">
        <v>119</v>
      </c>
      <c r="E560" s="6">
        <v>1</v>
      </c>
      <c r="F560" s="6">
        <v>1</v>
      </c>
      <c r="G560" s="6">
        <v>1</v>
      </c>
      <c r="H560" s="6">
        <v>0</v>
      </c>
      <c r="I560" s="6">
        <f t="shared" si="1"/>
        <v>0.75</v>
      </c>
      <c r="J560" s="7" t="s">
        <v>201</v>
      </c>
    </row>
    <row r="561" spans="2:10" x14ac:dyDescent="0.35">
      <c r="B561" s="4" t="s">
        <v>137</v>
      </c>
      <c r="C561" s="5" t="s">
        <v>9</v>
      </c>
      <c r="D561" s="5" t="s">
        <v>95</v>
      </c>
      <c r="E561" s="6">
        <v>1</v>
      </c>
      <c r="F561" s="6">
        <v>1</v>
      </c>
      <c r="G561" s="6">
        <v>1</v>
      </c>
      <c r="H561" s="6">
        <v>1</v>
      </c>
      <c r="I561" s="6">
        <f t="shared" si="1"/>
        <v>1</v>
      </c>
      <c r="J561" s="7" t="s">
        <v>201</v>
      </c>
    </row>
    <row r="562" spans="2:10" x14ac:dyDescent="0.35">
      <c r="B562" s="4" t="s">
        <v>138</v>
      </c>
      <c r="C562" s="5" t="s">
        <v>9</v>
      </c>
      <c r="D562" s="5" t="s">
        <v>13</v>
      </c>
      <c r="E562" s="6">
        <v>1</v>
      </c>
      <c r="F562" s="6">
        <v>1</v>
      </c>
      <c r="G562" s="6">
        <v>1</v>
      </c>
      <c r="H562" s="6">
        <v>1</v>
      </c>
      <c r="I562" s="6">
        <f t="shared" si="1"/>
        <v>1</v>
      </c>
      <c r="J562" s="7" t="s">
        <v>201</v>
      </c>
    </row>
    <row r="563" spans="2:10" x14ac:dyDescent="0.35">
      <c r="B563" s="4" t="s">
        <v>139</v>
      </c>
      <c r="C563" s="5" t="s">
        <v>9</v>
      </c>
      <c r="D563" s="5" t="s">
        <v>10</v>
      </c>
      <c r="E563" s="6">
        <v>1</v>
      </c>
      <c r="F563" s="6">
        <v>1</v>
      </c>
      <c r="G563" s="6">
        <v>1</v>
      </c>
      <c r="H563" s="6">
        <v>1</v>
      </c>
      <c r="I563" s="6">
        <f t="shared" si="1"/>
        <v>1</v>
      </c>
      <c r="J563" s="7" t="s">
        <v>201</v>
      </c>
    </row>
    <row r="564" spans="2:10" x14ac:dyDescent="0.35">
      <c r="B564" s="4" t="s">
        <v>140</v>
      </c>
      <c r="C564" s="5" t="s">
        <v>9</v>
      </c>
      <c r="D564" s="5" t="s">
        <v>10</v>
      </c>
      <c r="E564" s="6">
        <v>1</v>
      </c>
      <c r="F564" s="6">
        <v>1</v>
      </c>
      <c r="G564" s="6">
        <v>1</v>
      </c>
      <c r="H564" s="6">
        <v>1</v>
      </c>
      <c r="I564" s="6">
        <f t="shared" si="1"/>
        <v>1</v>
      </c>
      <c r="J564" s="7" t="s">
        <v>201</v>
      </c>
    </row>
    <row r="565" spans="2:10" x14ac:dyDescent="0.35">
      <c r="B565" s="4" t="s">
        <v>141</v>
      </c>
      <c r="C565" s="5" t="s">
        <v>9</v>
      </c>
      <c r="D565" s="5" t="s">
        <v>114</v>
      </c>
      <c r="E565" s="6">
        <v>1</v>
      </c>
      <c r="F565" s="6">
        <v>1</v>
      </c>
      <c r="G565" s="6">
        <v>1</v>
      </c>
      <c r="H565" s="6">
        <v>1</v>
      </c>
      <c r="I565" s="6">
        <f t="shared" si="1"/>
        <v>1</v>
      </c>
      <c r="J565" s="7" t="s">
        <v>201</v>
      </c>
    </row>
    <row r="566" spans="2:10" x14ac:dyDescent="0.35">
      <c r="B566" s="4" t="s">
        <v>142</v>
      </c>
      <c r="C566" s="5" t="s">
        <v>9</v>
      </c>
      <c r="D566" s="5" t="s">
        <v>16</v>
      </c>
      <c r="E566" s="6">
        <v>1</v>
      </c>
      <c r="F566" s="6">
        <v>1</v>
      </c>
      <c r="G566" s="6">
        <v>1</v>
      </c>
      <c r="H566" s="6">
        <v>1</v>
      </c>
      <c r="I566" s="6">
        <f t="shared" si="1"/>
        <v>1</v>
      </c>
      <c r="J566" s="7" t="s">
        <v>201</v>
      </c>
    </row>
    <row r="567" spans="2:10" x14ac:dyDescent="0.35">
      <c r="B567" s="4" t="s">
        <v>143</v>
      </c>
      <c r="C567" s="5" t="s">
        <v>9</v>
      </c>
      <c r="D567" s="5" t="s">
        <v>13</v>
      </c>
      <c r="E567" s="6">
        <v>1</v>
      </c>
      <c r="F567" s="6">
        <v>1</v>
      </c>
      <c r="G567" s="6">
        <v>1</v>
      </c>
      <c r="H567" s="6">
        <v>1</v>
      </c>
      <c r="I567" s="6">
        <f t="shared" si="1"/>
        <v>1</v>
      </c>
      <c r="J567" s="7" t="s">
        <v>201</v>
      </c>
    </row>
    <row r="568" spans="2:10" x14ac:dyDescent="0.35">
      <c r="B568" s="4" t="s">
        <v>144</v>
      </c>
      <c r="C568" s="5" t="s">
        <v>9</v>
      </c>
      <c r="D568" s="5" t="s">
        <v>114</v>
      </c>
      <c r="E568" s="6">
        <v>1</v>
      </c>
      <c r="F568" s="6">
        <v>1</v>
      </c>
      <c r="G568" s="6">
        <v>1</v>
      </c>
      <c r="H568" s="6">
        <v>1</v>
      </c>
      <c r="I568" s="6">
        <f t="shared" si="1"/>
        <v>1</v>
      </c>
      <c r="J568" s="7" t="s">
        <v>201</v>
      </c>
    </row>
    <row r="569" spans="2:10" x14ac:dyDescent="0.35">
      <c r="B569" s="4" t="s">
        <v>145</v>
      </c>
      <c r="C569" s="5" t="s">
        <v>9</v>
      </c>
      <c r="D569" s="5" t="s">
        <v>23</v>
      </c>
      <c r="E569" s="6">
        <v>1</v>
      </c>
      <c r="F569" s="6">
        <v>1</v>
      </c>
      <c r="G569" s="6">
        <v>1</v>
      </c>
      <c r="H569" s="6">
        <v>1</v>
      </c>
      <c r="I569" s="6">
        <f t="shared" si="1"/>
        <v>1</v>
      </c>
      <c r="J569" s="7" t="s">
        <v>201</v>
      </c>
    </row>
    <row r="570" spans="2:10" x14ac:dyDescent="0.35">
      <c r="B570" s="4" t="s">
        <v>146</v>
      </c>
      <c r="C570" s="5" t="s">
        <v>9</v>
      </c>
      <c r="D570" s="5" t="s">
        <v>23</v>
      </c>
      <c r="E570" s="6">
        <v>1</v>
      </c>
      <c r="F570" s="6">
        <v>1</v>
      </c>
      <c r="G570" s="6">
        <v>1</v>
      </c>
      <c r="H570" s="6">
        <v>1</v>
      </c>
      <c r="I570" s="6">
        <f t="shared" si="1"/>
        <v>1</v>
      </c>
      <c r="J570" s="7" t="s">
        <v>201</v>
      </c>
    </row>
    <row r="571" spans="2:10" x14ac:dyDescent="0.35">
      <c r="B571" s="4" t="s">
        <v>148</v>
      </c>
      <c r="C571" s="5" t="s">
        <v>9</v>
      </c>
      <c r="D571" s="5" t="s">
        <v>26</v>
      </c>
      <c r="E571" s="6">
        <v>1</v>
      </c>
      <c r="F571" s="6">
        <v>1</v>
      </c>
      <c r="G571" s="6">
        <v>1</v>
      </c>
      <c r="H571" s="6">
        <v>1</v>
      </c>
      <c r="I571" s="6">
        <f t="shared" si="1"/>
        <v>1</v>
      </c>
      <c r="J571" s="7" t="s">
        <v>201</v>
      </c>
    </row>
    <row r="572" spans="2:10" x14ac:dyDescent="0.35">
      <c r="B572" s="4" t="s">
        <v>149</v>
      </c>
      <c r="C572" s="5" t="s">
        <v>9</v>
      </c>
      <c r="D572" s="5" t="s">
        <v>119</v>
      </c>
      <c r="E572" s="6">
        <v>0</v>
      </c>
      <c r="F572" s="6">
        <v>1</v>
      </c>
      <c r="G572" s="6">
        <v>0</v>
      </c>
      <c r="H572" s="6">
        <v>1</v>
      </c>
      <c r="I572" s="6">
        <f t="shared" si="1"/>
        <v>0.5</v>
      </c>
      <c r="J572" s="7" t="s">
        <v>201</v>
      </c>
    </row>
    <row r="573" spans="2:10" x14ac:dyDescent="0.35">
      <c r="B573" s="4" t="s">
        <v>150</v>
      </c>
      <c r="C573" s="5" t="s">
        <v>9</v>
      </c>
      <c r="D573" s="5" t="s">
        <v>54</v>
      </c>
      <c r="E573" s="6">
        <v>1</v>
      </c>
      <c r="F573" s="6">
        <v>1</v>
      </c>
      <c r="G573" s="6">
        <v>1</v>
      </c>
      <c r="H573" s="6">
        <v>1</v>
      </c>
      <c r="I573" s="6">
        <f t="shared" si="1"/>
        <v>1</v>
      </c>
      <c r="J573" s="7" t="s">
        <v>201</v>
      </c>
    </row>
    <row r="574" spans="2:10" x14ac:dyDescent="0.35">
      <c r="B574" s="4" t="s">
        <v>151</v>
      </c>
      <c r="C574" s="5" t="s">
        <v>9</v>
      </c>
      <c r="D574" s="5" t="s">
        <v>23</v>
      </c>
      <c r="E574" s="6">
        <v>0</v>
      </c>
      <c r="F574" s="6">
        <v>0</v>
      </c>
      <c r="G574" s="6">
        <v>0</v>
      </c>
      <c r="H574" s="6">
        <v>1</v>
      </c>
      <c r="I574" s="6">
        <f t="shared" si="1"/>
        <v>0.25</v>
      </c>
      <c r="J574" s="7" t="s">
        <v>201</v>
      </c>
    </row>
    <row r="575" spans="2:10" x14ac:dyDescent="0.35">
      <c r="B575" s="4" t="s">
        <v>153</v>
      </c>
      <c r="C575" s="5" t="s">
        <v>9</v>
      </c>
      <c r="D575" s="5" t="s">
        <v>13</v>
      </c>
      <c r="E575" s="6">
        <v>0</v>
      </c>
      <c r="F575" s="6">
        <v>0</v>
      </c>
      <c r="G575" s="6">
        <v>1</v>
      </c>
      <c r="H575" s="6">
        <v>1</v>
      </c>
      <c r="I575" s="6">
        <f t="shared" si="1"/>
        <v>0.5</v>
      </c>
      <c r="J575" s="7" t="s">
        <v>201</v>
      </c>
    </row>
    <row r="576" spans="2:10" x14ac:dyDescent="0.35">
      <c r="B576" s="4" t="s">
        <v>154</v>
      </c>
      <c r="C576" s="5" t="s">
        <v>155</v>
      </c>
      <c r="D576" s="5" t="s">
        <v>30</v>
      </c>
      <c r="E576" s="6">
        <v>0</v>
      </c>
      <c r="F576" s="6">
        <v>1</v>
      </c>
      <c r="G576" s="6">
        <v>0</v>
      </c>
      <c r="H576" s="6">
        <v>0</v>
      </c>
      <c r="I576" s="6">
        <f t="shared" si="1"/>
        <v>0.25</v>
      </c>
      <c r="J576" s="7" t="s">
        <v>201</v>
      </c>
    </row>
    <row r="577" spans="2:10" x14ac:dyDescent="0.35">
      <c r="B577" s="4" t="s">
        <v>156</v>
      </c>
      <c r="C577" s="5" t="s">
        <v>155</v>
      </c>
      <c r="D577" s="5" t="s">
        <v>30</v>
      </c>
      <c r="E577" s="6">
        <v>0</v>
      </c>
      <c r="F577" s="6">
        <v>1</v>
      </c>
      <c r="G577" s="6">
        <v>0</v>
      </c>
      <c r="H577" s="6">
        <v>1</v>
      </c>
      <c r="I577" s="6">
        <f t="shared" si="1"/>
        <v>0.5</v>
      </c>
      <c r="J577" s="7" t="s">
        <v>201</v>
      </c>
    </row>
    <row r="578" spans="2:10" x14ac:dyDescent="0.35">
      <c r="B578" s="4" t="s">
        <v>157</v>
      </c>
      <c r="C578" s="5" t="s">
        <v>155</v>
      </c>
      <c r="D578" s="5" t="s">
        <v>30</v>
      </c>
      <c r="E578" s="6">
        <v>0</v>
      </c>
      <c r="F578" s="6">
        <v>1</v>
      </c>
      <c r="G578" s="6">
        <v>0</v>
      </c>
      <c r="H578" s="6">
        <v>1</v>
      </c>
      <c r="I578" s="6">
        <f t="shared" si="1"/>
        <v>0.5</v>
      </c>
      <c r="J578" s="7" t="s">
        <v>201</v>
      </c>
    </row>
    <row r="579" spans="2:10" x14ac:dyDescent="0.35">
      <c r="B579" s="4" t="s">
        <v>158</v>
      </c>
      <c r="C579" s="5" t="s">
        <v>155</v>
      </c>
      <c r="D579" s="5" t="s">
        <v>30</v>
      </c>
      <c r="E579" s="6">
        <v>0</v>
      </c>
      <c r="F579" s="6">
        <v>1</v>
      </c>
      <c r="G579" s="6">
        <v>1</v>
      </c>
      <c r="H579" s="6">
        <v>1</v>
      </c>
      <c r="I579" s="6">
        <f t="shared" si="1"/>
        <v>0.75</v>
      </c>
      <c r="J579" s="7" t="s">
        <v>201</v>
      </c>
    </row>
    <row r="580" spans="2:10" x14ac:dyDescent="0.35">
      <c r="B580" s="4" t="s">
        <v>160</v>
      </c>
      <c r="C580" s="5" t="s">
        <v>9</v>
      </c>
      <c r="D580" s="5" t="s">
        <v>26</v>
      </c>
      <c r="E580" s="6">
        <v>1</v>
      </c>
      <c r="F580" s="6">
        <v>1</v>
      </c>
      <c r="G580" s="6">
        <v>1</v>
      </c>
      <c r="H580" s="6">
        <v>1</v>
      </c>
      <c r="I580" s="6">
        <f t="shared" si="1"/>
        <v>1</v>
      </c>
      <c r="J580" s="7" t="s">
        <v>201</v>
      </c>
    </row>
    <row r="581" spans="2:10" x14ac:dyDescent="0.35">
      <c r="B581" s="4" t="s">
        <v>161</v>
      </c>
      <c r="C581" s="5" t="s">
        <v>9</v>
      </c>
      <c r="D581" s="5" t="s">
        <v>18</v>
      </c>
      <c r="E581" s="6">
        <v>1</v>
      </c>
      <c r="F581" s="6">
        <v>1</v>
      </c>
      <c r="G581" s="6">
        <v>1</v>
      </c>
      <c r="H581" s="6">
        <v>1</v>
      </c>
      <c r="I581" s="6">
        <f t="shared" si="1"/>
        <v>1</v>
      </c>
      <c r="J581" s="7" t="s">
        <v>201</v>
      </c>
    </row>
    <row r="582" spans="2:10" x14ac:dyDescent="0.35">
      <c r="B582" s="4" t="s">
        <v>162</v>
      </c>
      <c r="C582" s="5" t="s">
        <v>9</v>
      </c>
      <c r="D582" s="5" t="s">
        <v>13</v>
      </c>
      <c r="E582" s="6">
        <v>1</v>
      </c>
      <c r="F582" s="6">
        <v>1</v>
      </c>
      <c r="G582" s="6">
        <v>1</v>
      </c>
      <c r="H582" s="6">
        <v>1</v>
      </c>
      <c r="I582" s="6">
        <f t="shared" si="1"/>
        <v>1</v>
      </c>
      <c r="J582" s="7" t="s">
        <v>201</v>
      </c>
    </row>
    <row r="583" spans="2:10" x14ac:dyDescent="0.35">
      <c r="B583" s="4" t="s">
        <v>163</v>
      </c>
      <c r="C583" s="5" t="s">
        <v>9</v>
      </c>
      <c r="D583" s="5" t="s">
        <v>16</v>
      </c>
      <c r="E583" s="6">
        <v>1</v>
      </c>
      <c r="F583" s="6">
        <v>1</v>
      </c>
      <c r="G583" s="6">
        <v>0</v>
      </c>
      <c r="H583" s="6">
        <v>1</v>
      </c>
      <c r="I583" s="6">
        <f t="shared" si="1"/>
        <v>0.75</v>
      </c>
      <c r="J583" s="7" t="s">
        <v>201</v>
      </c>
    </row>
    <row r="584" spans="2:10" x14ac:dyDescent="0.35">
      <c r="B584" s="4" t="s">
        <v>164</v>
      </c>
      <c r="C584" s="5" t="s">
        <v>9</v>
      </c>
      <c r="D584" s="5" t="s">
        <v>48</v>
      </c>
      <c r="E584" s="6">
        <v>1</v>
      </c>
      <c r="F584" s="6">
        <v>1</v>
      </c>
      <c r="G584" s="6">
        <v>1</v>
      </c>
      <c r="H584" s="6">
        <v>1</v>
      </c>
      <c r="I584" s="6">
        <f t="shared" si="1"/>
        <v>1</v>
      </c>
      <c r="J584" s="7" t="s">
        <v>201</v>
      </c>
    </row>
    <row r="585" spans="2:10" x14ac:dyDescent="0.35">
      <c r="B585" s="4" t="s">
        <v>165</v>
      </c>
      <c r="C585" s="5" t="s">
        <v>9</v>
      </c>
      <c r="D585" s="5" t="s">
        <v>26</v>
      </c>
      <c r="E585" s="6">
        <v>0</v>
      </c>
      <c r="F585" s="6">
        <v>0</v>
      </c>
      <c r="G585" s="6">
        <v>1</v>
      </c>
      <c r="H585" s="6">
        <v>0</v>
      </c>
      <c r="I585" s="6">
        <f t="shared" si="1"/>
        <v>0.25</v>
      </c>
      <c r="J585" s="7" t="s">
        <v>201</v>
      </c>
    </row>
    <row r="586" spans="2:10" x14ac:dyDescent="0.35">
      <c r="B586" s="4" t="s">
        <v>166</v>
      </c>
      <c r="C586" s="5" t="s">
        <v>9</v>
      </c>
      <c r="D586" s="5" t="s">
        <v>23</v>
      </c>
      <c r="E586" s="6">
        <v>0</v>
      </c>
      <c r="F586" s="6">
        <v>1</v>
      </c>
      <c r="G586" s="6">
        <v>1</v>
      </c>
      <c r="H586" s="6">
        <v>1</v>
      </c>
      <c r="I586" s="6">
        <f t="shared" si="1"/>
        <v>0.75</v>
      </c>
      <c r="J586" s="7" t="s">
        <v>201</v>
      </c>
    </row>
    <row r="587" spans="2:10" x14ac:dyDescent="0.35">
      <c r="B587" s="4" t="s">
        <v>167</v>
      </c>
      <c r="C587" s="5" t="s">
        <v>9</v>
      </c>
      <c r="D587" s="5" t="s">
        <v>23</v>
      </c>
      <c r="E587" s="6">
        <v>1</v>
      </c>
      <c r="F587" s="6">
        <v>1</v>
      </c>
      <c r="G587" s="6">
        <v>1</v>
      </c>
      <c r="H587" s="6">
        <v>1</v>
      </c>
      <c r="I587" s="6">
        <f t="shared" si="1"/>
        <v>1</v>
      </c>
      <c r="J587" s="7" t="s">
        <v>201</v>
      </c>
    </row>
    <row r="588" spans="2:10" x14ac:dyDescent="0.35">
      <c r="B588" s="4" t="s">
        <v>168</v>
      </c>
      <c r="C588" s="5" t="s">
        <v>9</v>
      </c>
      <c r="D588" s="5" t="s">
        <v>43</v>
      </c>
      <c r="E588" s="6">
        <v>1</v>
      </c>
      <c r="F588" s="6">
        <v>1</v>
      </c>
      <c r="G588" s="6">
        <v>1</v>
      </c>
      <c r="H588" s="6">
        <v>1</v>
      </c>
      <c r="I588" s="6">
        <f t="shared" si="1"/>
        <v>1</v>
      </c>
      <c r="J588" s="7" t="s">
        <v>201</v>
      </c>
    </row>
    <row r="589" spans="2:10" x14ac:dyDescent="0.35">
      <c r="B589" s="4" t="s">
        <v>169</v>
      </c>
      <c r="C589" s="5" t="s">
        <v>9</v>
      </c>
      <c r="D589" s="5" t="s">
        <v>13</v>
      </c>
      <c r="E589" s="6">
        <v>1</v>
      </c>
      <c r="F589" s="6">
        <v>1</v>
      </c>
      <c r="G589" s="6">
        <v>1</v>
      </c>
      <c r="H589" s="6">
        <v>1</v>
      </c>
      <c r="I589" s="6">
        <f t="shared" si="1"/>
        <v>1</v>
      </c>
      <c r="J589" s="7" t="s">
        <v>201</v>
      </c>
    </row>
    <row r="590" spans="2:10" x14ac:dyDescent="0.35">
      <c r="B590" s="4" t="s">
        <v>170</v>
      </c>
      <c r="C590" s="5" t="s">
        <v>9</v>
      </c>
      <c r="D590" s="5" t="s">
        <v>21</v>
      </c>
      <c r="E590" s="6">
        <v>1</v>
      </c>
      <c r="F590" s="6">
        <v>1</v>
      </c>
      <c r="G590" s="6">
        <v>1</v>
      </c>
      <c r="H590" s="6">
        <v>0</v>
      </c>
      <c r="I590" s="6">
        <f t="shared" si="1"/>
        <v>0.75</v>
      </c>
      <c r="J590" s="7" t="s">
        <v>201</v>
      </c>
    </row>
    <row r="591" spans="2:10" x14ac:dyDescent="0.35">
      <c r="B591" s="4" t="s">
        <v>171</v>
      </c>
      <c r="C591" s="5" t="s">
        <v>9</v>
      </c>
      <c r="D591" s="5" t="s">
        <v>95</v>
      </c>
      <c r="E591" s="6">
        <v>1</v>
      </c>
      <c r="F591" s="6">
        <v>1</v>
      </c>
      <c r="G591" s="6">
        <v>1</v>
      </c>
      <c r="H591" s="6">
        <v>1</v>
      </c>
      <c r="I591" s="6">
        <f t="shared" si="1"/>
        <v>1</v>
      </c>
      <c r="J591" s="7" t="s">
        <v>201</v>
      </c>
    </row>
    <row r="592" spans="2:10" x14ac:dyDescent="0.35">
      <c r="B592" s="4" t="s">
        <v>172</v>
      </c>
      <c r="C592" s="5" t="s">
        <v>9</v>
      </c>
      <c r="D592" s="5" t="s">
        <v>21</v>
      </c>
      <c r="E592" s="6">
        <v>1</v>
      </c>
      <c r="F592" s="6">
        <v>1</v>
      </c>
      <c r="G592" s="6">
        <v>1</v>
      </c>
      <c r="H592" s="6">
        <v>1</v>
      </c>
      <c r="I592" s="6">
        <f t="shared" si="1"/>
        <v>1</v>
      </c>
      <c r="J592" s="7" t="s">
        <v>201</v>
      </c>
    </row>
    <row r="593" spans="2:10" x14ac:dyDescent="0.35">
      <c r="B593" s="4" t="s">
        <v>173</v>
      </c>
      <c r="C593" s="5" t="s">
        <v>9</v>
      </c>
      <c r="D593" s="5" t="s">
        <v>43</v>
      </c>
      <c r="E593" s="6">
        <v>1</v>
      </c>
      <c r="F593" s="6">
        <v>1</v>
      </c>
      <c r="G593" s="6">
        <v>0</v>
      </c>
      <c r="H593" s="6">
        <v>1</v>
      </c>
      <c r="I593" s="6">
        <f t="shared" si="1"/>
        <v>0.75</v>
      </c>
      <c r="J593" s="7" t="s">
        <v>201</v>
      </c>
    </row>
    <row r="594" spans="2:10" x14ac:dyDescent="0.35">
      <c r="B594" s="4" t="s">
        <v>174</v>
      </c>
      <c r="C594" s="5" t="s">
        <v>9</v>
      </c>
      <c r="D594" s="5" t="s">
        <v>26</v>
      </c>
      <c r="E594" s="6">
        <v>1</v>
      </c>
      <c r="F594" s="6">
        <v>1</v>
      </c>
      <c r="G594" s="6">
        <v>1</v>
      </c>
      <c r="H594" s="6">
        <v>1</v>
      </c>
      <c r="I594" s="6">
        <f t="shared" ref="I594:I614" si="2">AVERAGE(E594:H594)</f>
        <v>1</v>
      </c>
      <c r="J594" s="7" t="s">
        <v>201</v>
      </c>
    </row>
    <row r="595" spans="2:10" x14ac:dyDescent="0.35">
      <c r="B595" s="4" t="s">
        <v>175</v>
      </c>
      <c r="C595" s="5" t="s">
        <v>9</v>
      </c>
      <c r="D595" s="5" t="s">
        <v>65</v>
      </c>
      <c r="E595" s="6">
        <v>1</v>
      </c>
      <c r="F595" s="6">
        <v>1</v>
      </c>
      <c r="G595" s="6">
        <v>1</v>
      </c>
      <c r="H595" s="6">
        <v>1</v>
      </c>
      <c r="I595" s="6">
        <f t="shared" si="2"/>
        <v>1</v>
      </c>
      <c r="J595" s="7" t="s">
        <v>201</v>
      </c>
    </row>
    <row r="596" spans="2:10" x14ac:dyDescent="0.35">
      <c r="B596" s="4" t="s">
        <v>176</v>
      </c>
      <c r="C596" s="5" t="s">
        <v>9</v>
      </c>
      <c r="D596" s="5" t="s">
        <v>43</v>
      </c>
      <c r="E596" s="6">
        <v>1</v>
      </c>
      <c r="F596" s="6">
        <v>1</v>
      </c>
      <c r="G596" s="6">
        <v>1</v>
      </c>
      <c r="H596" s="6">
        <v>1</v>
      </c>
      <c r="I596" s="6">
        <f t="shared" si="2"/>
        <v>1</v>
      </c>
      <c r="J596" s="7" t="s">
        <v>201</v>
      </c>
    </row>
    <row r="597" spans="2:10" x14ac:dyDescent="0.35">
      <c r="B597" s="4" t="s">
        <v>177</v>
      </c>
      <c r="C597" s="5" t="s">
        <v>9</v>
      </c>
      <c r="D597" s="5" t="s">
        <v>26</v>
      </c>
      <c r="E597" s="6">
        <v>0</v>
      </c>
      <c r="F597" s="6">
        <v>1</v>
      </c>
      <c r="G597" s="6">
        <v>1</v>
      </c>
      <c r="H597" s="6">
        <v>1</v>
      </c>
      <c r="I597" s="6">
        <f t="shared" si="2"/>
        <v>0.75</v>
      </c>
      <c r="J597" s="7" t="s">
        <v>201</v>
      </c>
    </row>
    <row r="598" spans="2:10" x14ac:dyDescent="0.35">
      <c r="B598" s="4" t="s">
        <v>178</v>
      </c>
      <c r="C598" s="5" t="s">
        <v>9</v>
      </c>
      <c r="D598" s="5" t="s">
        <v>43</v>
      </c>
      <c r="E598" s="6">
        <v>0</v>
      </c>
      <c r="F598" s="6">
        <v>1</v>
      </c>
      <c r="G598" s="6">
        <v>0</v>
      </c>
      <c r="H598" s="6">
        <v>1</v>
      </c>
      <c r="I598" s="6">
        <f t="shared" si="2"/>
        <v>0.5</v>
      </c>
      <c r="J598" s="7" t="s">
        <v>201</v>
      </c>
    </row>
    <row r="599" spans="2:10" x14ac:dyDescent="0.35">
      <c r="B599" s="4" t="s">
        <v>179</v>
      </c>
      <c r="C599" s="5" t="s">
        <v>9</v>
      </c>
      <c r="D599" s="5" t="s">
        <v>54</v>
      </c>
      <c r="E599" s="6">
        <v>1</v>
      </c>
      <c r="F599" s="6">
        <v>1</v>
      </c>
      <c r="G599" s="6">
        <v>1</v>
      </c>
      <c r="H599" s="6">
        <v>1</v>
      </c>
      <c r="I599" s="6">
        <f t="shared" si="2"/>
        <v>1</v>
      </c>
      <c r="J599" s="7" t="s">
        <v>201</v>
      </c>
    </row>
    <row r="600" spans="2:10" x14ac:dyDescent="0.35">
      <c r="B600" s="4" t="s">
        <v>180</v>
      </c>
      <c r="C600" s="5" t="s">
        <v>130</v>
      </c>
      <c r="D600" s="5" t="s">
        <v>30</v>
      </c>
      <c r="E600" s="6">
        <v>1</v>
      </c>
      <c r="F600" s="6">
        <v>1</v>
      </c>
      <c r="G600" s="6">
        <v>1</v>
      </c>
      <c r="H600" s="6">
        <v>1</v>
      </c>
      <c r="I600" s="6">
        <f t="shared" si="2"/>
        <v>1</v>
      </c>
      <c r="J600" s="7" t="s">
        <v>201</v>
      </c>
    </row>
    <row r="601" spans="2:10" x14ac:dyDescent="0.35">
      <c r="B601" s="4" t="s">
        <v>181</v>
      </c>
      <c r="C601" s="5" t="s">
        <v>130</v>
      </c>
      <c r="D601" s="5" t="s">
        <v>30</v>
      </c>
      <c r="E601" s="6">
        <v>1</v>
      </c>
      <c r="F601" s="6">
        <v>0</v>
      </c>
      <c r="G601" s="6">
        <v>1</v>
      </c>
      <c r="H601" s="6">
        <v>1</v>
      </c>
      <c r="I601" s="6">
        <f t="shared" si="2"/>
        <v>0.75</v>
      </c>
      <c r="J601" s="7" t="s">
        <v>201</v>
      </c>
    </row>
    <row r="602" spans="2:10" x14ac:dyDescent="0.35">
      <c r="B602" s="4" t="s">
        <v>182</v>
      </c>
      <c r="C602" s="5" t="s">
        <v>130</v>
      </c>
      <c r="D602" s="5" t="s">
        <v>30</v>
      </c>
      <c r="E602" s="6">
        <v>0</v>
      </c>
      <c r="F602" s="6">
        <v>0</v>
      </c>
      <c r="G602" s="6">
        <v>0</v>
      </c>
      <c r="H602" s="6">
        <v>1</v>
      </c>
      <c r="I602" s="6">
        <f t="shared" si="2"/>
        <v>0.25</v>
      </c>
      <c r="J602" s="7" t="s">
        <v>201</v>
      </c>
    </row>
    <row r="603" spans="2:10" x14ac:dyDescent="0.35">
      <c r="B603" s="4" t="s">
        <v>183</v>
      </c>
      <c r="C603" s="5" t="s">
        <v>9</v>
      </c>
      <c r="D603" s="5" t="s">
        <v>93</v>
      </c>
      <c r="E603" s="6">
        <v>1</v>
      </c>
      <c r="F603" s="6">
        <v>1</v>
      </c>
      <c r="G603" s="6">
        <v>1</v>
      </c>
      <c r="H603" s="6">
        <v>1</v>
      </c>
      <c r="I603" s="6">
        <f t="shared" si="2"/>
        <v>1</v>
      </c>
      <c r="J603" s="7" t="s">
        <v>201</v>
      </c>
    </row>
    <row r="604" spans="2:10" x14ac:dyDescent="0.35">
      <c r="B604" s="4" t="s">
        <v>184</v>
      </c>
      <c r="C604" s="5" t="s">
        <v>9</v>
      </c>
      <c r="D604" s="5" t="s">
        <v>54</v>
      </c>
      <c r="E604" s="6">
        <v>1</v>
      </c>
      <c r="F604" s="6">
        <v>1</v>
      </c>
      <c r="G604" s="6">
        <v>1</v>
      </c>
      <c r="H604" s="6">
        <v>1</v>
      </c>
      <c r="I604" s="6">
        <f t="shared" si="2"/>
        <v>1</v>
      </c>
      <c r="J604" s="7" t="s">
        <v>201</v>
      </c>
    </row>
    <row r="605" spans="2:10" x14ac:dyDescent="0.35">
      <c r="B605" s="4" t="s">
        <v>185</v>
      </c>
      <c r="C605" s="5" t="s">
        <v>9</v>
      </c>
      <c r="D605" s="5" t="s">
        <v>95</v>
      </c>
      <c r="E605" s="6">
        <v>1</v>
      </c>
      <c r="F605" s="6">
        <v>1</v>
      </c>
      <c r="G605" s="6">
        <v>1</v>
      </c>
      <c r="H605" s="6">
        <v>1</v>
      </c>
      <c r="I605" s="6">
        <f t="shared" si="2"/>
        <v>1</v>
      </c>
      <c r="J605" s="7" t="s">
        <v>201</v>
      </c>
    </row>
    <row r="606" spans="2:10" x14ac:dyDescent="0.35">
      <c r="B606" s="4" t="s">
        <v>186</v>
      </c>
      <c r="C606" s="5" t="s">
        <v>9</v>
      </c>
      <c r="D606" s="5" t="s">
        <v>26</v>
      </c>
      <c r="E606" s="6">
        <v>1</v>
      </c>
      <c r="F606" s="6">
        <v>1</v>
      </c>
      <c r="G606" s="6">
        <v>1</v>
      </c>
      <c r="H606" s="6">
        <v>0</v>
      </c>
      <c r="I606" s="6">
        <f t="shared" si="2"/>
        <v>0.75</v>
      </c>
      <c r="J606" s="7" t="s">
        <v>201</v>
      </c>
    </row>
    <row r="607" spans="2:10" x14ac:dyDescent="0.35">
      <c r="B607" s="4" t="s">
        <v>187</v>
      </c>
      <c r="C607" s="5" t="s">
        <v>9</v>
      </c>
      <c r="D607" s="5" t="s">
        <v>10</v>
      </c>
      <c r="E607" s="6">
        <v>1</v>
      </c>
      <c r="F607" s="6">
        <v>1</v>
      </c>
      <c r="G607" s="6">
        <v>1</v>
      </c>
      <c r="H607" s="6">
        <v>1</v>
      </c>
      <c r="I607" s="6">
        <f t="shared" si="2"/>
        <v>1</v>
      </c>
      <c r="J607" s="7" t="s">
        <v>201</v>
      </c>
    </row>
    <row r="608" spans="2:10" x14ac:dyDescent="0.35">
      <c r="B608" s="4" t="s">
        <v>188</v>
      </c>
      <c r="C608" s="5" t="s">
        <v>9</v>
      </c>
      <c r="D608" s="5" t="s">
        <v>10</v>
      </c>
      <c r="E608" s="6">
        <v>1</v>
      </c>
      <c r="F608" s="6">
        <v>1</v>
      </c>
      <c r="G608" s="6">
        <v>1</v>
      </c>
      <c r="H608" s="6">
        <v>1</v>
      </c>
      <c r="I608" s="6">
        <f t="shared" si="2"/>
        <v>1</v>
      </c>
      <c r="J608" s="7" t="s">
        <v>201</v>
      </c>
    </row>
    <row r="609" spans="2:10" x14ac:dyDescent="0.35">
      <c r="B609" s="4" t="s">
        <v>189</v>
      </c>
      <c r="C609" s="5" t="s">
        <v>9</v>
      </c>
      <c r="D609" s="5" t="s">
        <v>26</v>
      </c>
      <c r="E609" s="6">
        <v>1</v>
      </c>
      <c r="F609" s="6">
        <v>1</v>
      </c>
      <c r="G609" s="6">
        <v>1</v>
      </c>
      <c r="H609" s="6">
        <v>1</v>
      </c>
      <c r="I609" s="6">
        <f t="shared" si="2"/>
        <v>1</v>
      </c>
      <c r="J609" s="7" t="s">
        <v>201</v>
      </c>
    </row>
    <row r="610" spans="2:10" x14ac:dyDescent="0.35">
      <c r="B610" s="4" t="s">
        <v>190</v>
      </c>
      <c r="C610" s="5" t="s">
        <v>9</v>
      </c>
      <c r="D610" s="5" t="s">
        <v>23</v>
      </c>
      <c r="E610" s="6">
        <v>1</v>
      </c>
      <c r="F610" s="6">
        <v>1</v>
      </c>
      <c r="G610" s="6">
        <v>0</v>
      </c>
      <c r="H610" s="6">
        <v>1</v>
      </c>
      <c r="I610" s="6">
        <f t="shared" si="2"/>
        <v>0.75</v>
      </c>
      <c r="J610" s="7" t="s">
        <v>201</v>
      </c>
    </row>
    <row r="611" spans="2:10" x14ac:dyDescent="0.35">
      <c r="B611" s="4" t="s">
        <v>191</v>
      </c>
      <c r="C611" s="5" t="s">
        <v>9</v>
      </c>
      <c r="D611" s="5" t="s">
        <v>23</v>
      </c>
      <c r="E611" s="6">
        <v>1</v>
      </c>
      <c r="F611" s="6">
        <v>0</v>
      </c>
      <c r="G611" s="6">
        <v>0</v>
      </c>
      <c r="H611" s="6">
        <v>1</v>
      </c>
      <c r="I611" s="6">
        <f t="shared" si="2"/>
        <v>0.5</v>
      </c>
      <c r="J611" s="7" t="s">
        <v>201</v>
      </c>
    </row>
    <row r="612" spans="2:10" x14ac:dyDescent="0.35">
      <c r="B612" s="4" t="s">
        <v>192</v>
      </c>
      <c r="C612" s="5" t="s">
        <v>9</v>
      </c>
      <c r="D612" s="5" t="s">
        <v>10</v>
      </c>
      <c r="E612" s="6">
        <v>1</v>
      </c>
      <c r="F612" s="6">
        <v>1</v>
      </c>
      <c r="G612" s="6">
        <v>1</v>
      </c>
      <c r="H612" s="6">
        <v>1</v>
      </c>
      <c r="I612" s="6">
        <f t="shared" si="2"/>
        <v>1</v>
      </c>
      <c r="J612" s="7" t="s">
        <v>201</v>
      </c>
    </row>
    <row r="613" spans="2:10" x14ac:dyDescent="0.35">
      <c r="B613" s="4" t="s">
        <v>193</v>
      </c>
      <c r="C613" s="5" t="s">
        <v>9</v>
      </c>
      <c r="D613" s="5" t="s">
        <v>10</v>
      </c>
      <c r="E613" s="6">
        <v>1</v>
      </c>
      <c r="F613" s="6">
        <v>1</v>
      </c>
      <c r="G613" s="6">
        <v>0</v>
      </c>
      <c r="H613" s="6">
        <v>1</v>
      </c>
      <c r="I613" s="6">
        <f t="shared" si="2"/>
        <v>0.75</v>
      </c>
      <c r="J613" s="7" t="s">
        <v>201</v>
      </c>
    </row>
    <row r="614" spans="2:10" x14ac:dyDescent="0.35">
      <c r="B614" s="8" t="s">
        <v>194</v>
      </c>
      <c r="C614" s="9" t="s">
        <v>9</v>
      </c>
      <c r="D614" s="9" t="s">
        <v>43</v>
      </c>
      <c r="E614" s="10">
        <v>1</v>
      </c>
      <c r="F614" s="10">
        <v>1</v>
      </c>
      <c r="G614" s="10">
        <v>1</v>
      </c>
      <c r="H614" s="10">
        <v>1</v>
      </c>
      <c r="I614" s="6">
        <f t="shared" si="2"/>
        <v>1</v>
      </c>
      <c r="J614" s="11" t="s">
        <v>201</v>
      </c>
    </row>
  </sheetData>
  <autoFilter ref="B2:J614" xr:uid="{B0AEB249-656D-464B-B171-9A95C1DD1FA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FINAL PAY OUT</vt:lpstr>
      <vt:lpstr>SOS VS SOM</vt:lpstr>
      <vt:lpstr>PVT</vt:lpstr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Mervyn Marvyn</dc:creator>
  <cp:lastModifiedBy>Mervyn Marvyn</cp:lastModifiedBy>
  <dcterms:created xsi:type="dcterms:W3CDTF">2026-05-04T10:13:07Z</dcterms:created>
  <dcterms:modified xsi:type="dcterms:W3CDTF">2026-05-05T12:34:27Z</dcterms:modified>
</cp:coreProperties>
</file>